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xr:revisionPtr revIDLastSave="766" documentId="8_{EDF185B0-3DA2-49F2-A414-5842BBDD2B93}" xr6:coauthVersionLast="47" xr6:coauthVersionMax="47" xr10:uidLastSave="{B259E950-C3D1-4249-AE5C-866546E9FC34}"/>
  <bookViews>
    <workbookView xWindow="-98" yWindow="-98" windowWidth="23236" windowHeight="13875" xr2:uid="{1B261184-A440-403B-A2F9-66901AE82E21}"/>
  </bookViews>
  <sheets>
    <sheet name="Master" sheetId="1" r:id="rId1"/>
    <sheet name="Summary" sheetId="3" r:id="rId2"/>
    <sheet name="Maths" sheetId="2" r:id="rId3"/>
  </sheets>
  <definedNames>
    <definedName name="_xlcn.WorksheetConnection_ApplicationTracker1" hidden="1">ApplicationTracker[]</definedName>
    <definedName name="AveWorkHours">Maths!$M$13</definedName>
    <definedName name="FedBankdays">Maths!$M$11</definedName>
    <definedName name="Fulltime35month">Maths!$M$6</definedName>
    <definedName name="Fulltime35Year">Maths!$M$4</definedName>
    <definedName name="Fulltime40Month">Maths!$M$5</definedName>
    <definedName name="Fulltime40Year">Maths!$M$3</definedName>
    <definedName name="WorkingDay35">Maths!$M$8</definedName>
    <definedName name="WorkingDay40">Maths!$M$7</definedName>
    <definedName name="WorkingWeek">Maths!$M$10</definedName>
    <definedName name="WorkWeeks">Maths!$M$12</definedName>
    <definedName name="YearWeeks">Maths!$M$9</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pplicationTracker" name="ApplicationTracker" connection="WorksheetConnection_ApplicationTracker"/>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7" i="1" l="1"/>
  <c r="C58"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N3" i="1"/>
  <c r="N6" i="1"/>
  <c r="N9" i="1"/>
  <c r="N10" i="1"/>
  <c r="N16" i="1"/>
  <c r="N22" i="1"/>
  <c r="N28" i="1"/>
  <c r="N31" i="1"/>
  <c r="N38" i="1"/>
  <c r="N40" i="1"/>
  <c r="N48" i="1"/>
  <c r="M3" i="1"/>
  <c r="O3" i="1" s="1"/>
  <c r="M6" i="1"/>
  <c r="M9" i="1"/>
  <c r="O9" i="1" s="1"/>
  <c r="M10" i="1"/>
  <c r="O10" i="1" s="1"/>
  <c r="M16" i="1"/>
  <c r="M22" i="1"/>
  <c r="M28" i="1"/>
  <c r="M31" i="1"/>
  <c r="M38" i="1"/>
  <c r="M40" i="1"/>
  <c r="M48" i="1"/>
  <c r="D58" i="1"/>
  <c r="AA58" i="1"/>
  <c r="D57" i="1"/>
  <c r="AA57" i="1"/>
  <c r="D28" i="1"/>
  <c r="AA28" i="1"/>
  <c r="D40" i="1"/>
  <c r="AA40" i="1"/>
  <c r="D4" i="1"/>
  <c r="D5" i="1"/>
  <c r="D6" i="1"/>
  <c r="D46" i="1"/>
  <c r="D7" i="1"/>
  <c r="D8" i="1"/>
  <c r="D9" i="1"/>
  <c r="D10" i="1"/>
  <c r="D11" i="1"/>
  <c r="D12" i="1"/>
  <c r="D13" i="1"/>
  <c r="D14" i="1"/>
  <c r="D15" i="1"/>
  <c r="D16" i="1"/>
  <c r="D17" i="1"/>
  <c r="D18" i="1"/>
  <c r="D19" i="1"/>
  <c r="D20" i="1"/>
  <c r="D22" i="1"/>
  <c r="D23" i="1"/>
  <c r="D24" i="1"/>
  <c r="D25" i="1"/>
  <c r="D26" i="1"/>
  <c r="D27" i="1"/>
  <c r="D29" i="1"/>
  <c r="D30" i="1"/>
  <c r="D31" i="1"/>
  <c r="D32" i="1"/>
  <c r="D33" i="1"/>
  <c r="D34" i="1"/>
  <c r="D35" i="1"/>
  <c r="D36" i="1"/>
  <c r="D37" i="1"/>
  <c r="D38" i="1"/>
  <c r="D39" i="1"/>
  <c r="D41" i="1"/>
  <c r="D42" i="1"/>
  <c r="D43" i="1"/>
  <c r="D44" i="1"/>
  <c r="D45" i="1"/>
  <c r="D47" i="1"/>
  <c r="D48" i="1"/>
  <c r="D49" i="1"/>
  <c r="D50" i="1"/>
  <c r="D51" i="1"/>
  <c r="D52" i="1"/>
  <c r="D53" i="1"/>
  <c r="D54" i="1"/>
  <c r="D55" i="1"/>
  <c r="D56" i="1"/>
  <c r="D21" i="1"/>
  <c r="AA21" i="1"/>
  <c r="D3" i="1"/>
  <c r="AA46" i="1"/>
  <c r="AA22" i="1"/>
  <c r="AA9" i="1"/>
  <c r="AA54" i="1"/>
  <c r="AA12" i="1"/>
  <c r="AA51" i="1"/>
  <c r="AA31" i="1"/>
  <c r="AA25" i="1"/>
  <c r="AA8" i="1"/>
  <c r="AA4" i="1"/>
  <c r="AA5" i="1"/>
  <c r="AA13" i="1"/>
  <c r="AA30" i="1"/>
  <c r="AA37" i="1"/>
  <c r="AA43" i="1"/>
  <c r="AA18" i="1"/>
  <c r="AA27" i="1"/>
  <c r="AA35" i="1"/>
  <c r="AA36" i="1"/>
  <c r="AA24" i="1"/>
  <c r="AA55" i="1"/>
  <c r="AA3" i="1"/>
  <c r="AA7" i="1"/>
  <c r="AA14" i="1"/>
  <c r="AA34" i="1"/>
  <c r="AA19" i="1"/>
  <c r="AA53" i="1"/>
  <c r="AA48" i="1"/>
  <c r="AA42" i="1"/>
  <c r="AA26" i="1"/>
  <c r="AA47" i="1"/>
  <c r="AA15" i="1"/>
  <c r="AA17" i="1"/>
  <c r="AA29" i="1"/>
  <c r="AA11" i="1"/>
  <c r="AA39" i="1"/>
  <c r="AA45" i="1"/>
  <c r="AA44" i="1"/>
  <c r="AA6" i="1"/>
  <c r="AA33" i="1"/>
  <c r="AA10" i="1"/>
  <c r="AA52" i="1"/>
  <c r="AA49" i="1"/>
  <c r="AA20" i="1"/>
  <c r="AA16" i="1"/>
  <c r="AA56" i="1"/>
  <c r="AA50" i="1"/>
  <c r="AA41" i="1"/>
  <c r="AA23" i="1"/>
  <c r="AA32" i="1"/>
  <c r="AA38" i="1"/>
  <c r="S7" i="1" a="1"/>
  <c r="S7" i="1" s="1"/>
  <c r="P7" i="1" s="1"/>
  <c r="T7" i="1" a="1"/>
  <c r="T7" i="1" s="1"/>
  <c r="Q7" i="1" s="1" a="1"/>
  <c r="Q7" i="1" s="1"/>
  <c r="S8" i="1" a="1"/>
  <c r="S8" i="1" s="1"/>
  <c r="P8" i="1" s="1"/>
  <c r="T8" i="1" a="1"/>
  <c r="T8" i="1" s="1"/>
  <c r="Q8" i="1" s="1" a="1"/>
  <c r="Q8" i="1" s="1"/>
  <c r="S4" i="1" a="1"/>
  <c r="S4" i="1" s="1"/>
  <c r="P4" i="1" s="1"/>
  <c r="T4" i="1" a="1"/>
  <c r="T4" i="1" s="1"/>
  <c r="Q4" i="1" s="1" a="1"/>
  <c r="Q4" i="1" s="1"/>
  <c r="S5" i="1" a="1"/>
  <c r="S5" i="1" s="1"/>
  <c r="P5" i="1" s="1"/>
  <c r="T5" i="1" a="1"/>
  <c r="T5" i="1" s="1"/>
  <c r="Q5" i="1" s="1" a="1"/>
  <c r="Q5" i="1" s="1"/>
  <c r="S13" i="1" a="1"/>
  <c r="S13" i="1" s="1"/>
  <c r="P13" i="1" s="1"/>
  <c r="T13" i="1" a="1"/>
  <c r="T13" i="1" s="1"/>
  <c r="Q13" i="1" s="1" a="1"/>
  <c r="Q13" i="1" s="1"/>
  <c r="S14" i="1" a="1"/>
  <c r="S14" i="1" s="1"/>
  <c r="P14" i="1" s="1"/>
  <c r="T14" i="1" a="1"/>
  <c r="T14" i="1" s="1"/>
  <c r="Q14" i="1" s="1" a="1"/>
  <c r="Q14" i="1" s="1"/>
  <c r="S41" i="1" a="1"/>
  <c r="S41" i="1" s="1"/>
  <c r="P41" i="1" s="1"/>
  <c r="T41" i="1" a="1"/>
  <c r="T41" i="1" s="1"/>
  <c r="Q41" i="1" s="1" a="1"/>
  <c r="Q41" i="1" s="1"/>
  <c r="S42" i="1" a="1"/>
  <c r="S42" i="1" s="1"/>
  <c r="P42" i="1" s="1"/>
  <c r="T42" i="1" a="1"/>
  <c r="T42" i="1" s="1"/>
  <c r="Q42" i="1" s="1" a="1"/>
  <c r="Q42" i="1" s="1"/>
  <c r="S15" i="1" a="1"/>
  <c r="S15" i="1" s="1"/>
  <c r="P15" i="1" s="1"/>
  <c r="T15" i="1" a="1"/>
  <c r="T15" i="1" s="1"/>
  <c r="Q15" i="1" s="1" a="1"/>
  <c r="Q15" i="1" s="1"/>
  <c r="S24" i="1" a="1"/>
  <c r="S24" i="1" s="1"/>
  <c r="P24" i="1" s="1"/>
  <c r="T24" i="1" a="1"/>
  <c r="T24" i="1" s="1"/>
  <c r="Q24" i="1" s="1" a="1"/>
  <c r="Q24" i="1" s="1"/>
  <c r="S29" i="1" a="1"/>
  <c r="S29" i="1" s="1"/>
  <c r="P29" i="1" s="1"/>
  <c r="T29" i="1" a="1"/>
  <c r="T29" i="1" s="1"/>
  <c r="Q29" i="1" s="1" a="1"/>
  <c r="Q29" i="1" s="1"/>
  <c r="S25" i="1" a="1"/>
  <c r="S25" i="1" s="1"/>
  <c r="P25" i="1" s="1"/>
  <c r="T25" i="1" a="1"/>
  <c r="T25" i="1" s="1"/>
  <c r="Q25" i="1" s="1" a="1"/>
  <c r="Q25" i="1" s="1"/>
  <c r="S26" i="1" a="1"/>
  <c r="S26" i="1" s="1"/>
  <c r="P26" i="1" s="1"/>
  <c r="T26" i="1" a="1"/>
  <c r="T26" i="1" s="1"/>
  <c r="Q26" i="1" s="1" a="1"/>
  <c r="Q26" i="1" s="1"/>
  <c r="S30" i="1" a="1"/>
  <c r="S30" i="1" s="1"/>
  <c r="P30" i="1" s="1"/>
  <c r="T30" i="1" a="1"/>
  <c r="T30" i="1" s="1"/>
  <c r="Q30" i="1" s="1" a="1"/>
  <c r="Q30" i="1" s="1"/>
  <c r="S44" i="1" a="1"/>
  <c r="S44" i="1" s="1"/>
  <c r="P44" i="1" s="1"/>
  <c r="T44" i="1" a="1"/>
  <c r="T44" i="1" s="1"/>
  <c r="Q44" i="1" s="1" a="1"/>
  <c r="Q44" i="1" s="1"/>
  <c r="S12" i="1" a="1"/>
  <c r="S12" i="1" s="1"/>
  <c r="P12" i="1" s="1"/>
  <c r="T12" i="1" a="1"/>
  <c r="T12" i="1" s="1"/>
  <c r="Q12" i="1" s="1" a="1"/>
  <c r="Q12" i="1" s="1"/>
  <c r="S11" i="1" a="1"/>
  <c r="S11" i="1" s="1"/>
  <c r="P11" i="1" s="1"/>
  <c r="T11" i="1" a="1"/>
  <c r="T11" i="1" s="1"/>
  <c r="Q11" i="1" s="1" a="1"/>
  <c r="Q11" i="1" s="1"/>
  <c r="S27" i="1" a="1"/>
  <c r="S27" i="1" s="1"/>
  <c r="P27" i="1" s="1"/>
  <c r="T27" i="1" a="1"/>
  <c r="T27" i="1" s="1"/>
  <c r="Q27" i="1" s="1" a="1"/>
  <c r="Q27" i="1" s="1"/>
  <c r="S33" i="1" a="1"/>
  <c r="S33" i="1" s="1"/>
  <c r="P33" i="1" s="1"/>
  <c r="T33" i="1" a="1"/>
  <c r="T33" i="1" s="1"/>
  <c r="S32" i="1" a="1"/>
  <c r="S32" i="1" s="1"/>
  <c r="P32" i="1" s="1"/>
  <c r="T32" i="1" a="1"/>
  <c r="T32" i="1" s="1"/>
  <c r="S34" i="1" a="1"/>
  <c r="S34" i="1" s="1"/>
  <c r="P34" i="1" s="1"/>
  <c r="T34" i="1" a="1"/>
  <c r="T34" i="1" s="1"/>
  <c r="Q34" i="1" s="1" a="1"/>
  <c r="Q34" i="1" s="1"/>
  <c r="S37" i="1" a="1"/>
  <c r="S37" i="1" s="1"/>
  <c r="P37" i="1" s="1"/>
  <c r="T37" i="1" a="1"/>
  <c r="T37" i="1" s="1"/>
  <c r="Q37" i="1" s="1" a="1"/>
  <c r="Q37" i="1" s="1"/>
  <c r="S54" i="1" a="1"/>
  <c r="S54" i="1" s="1"/>
  <c r="P54" i="1" s="1"/>
  <c r="T54" i="1" a="1"/>
  <c r="T54" i="1" s="1"/>
  <c r="Q54" i="1" s="1" a="1"/>
  <c r="Q54" i="1" s="1"/>
  <c r="S43" i="1" a="1"/>
  <c r="S43" i="1" s="1"/>
  <c r="P43" i="1" s="1"/>
  <c r="T43" i="1" a="1"/>
  <c r="T43" i="1" s="1"/>
  <c r="S18" i="1" a="1"/>
  <c r="S18" i="1" s="1"/>
  <c r="P18" i="1" s="1"/>
  <c r="T18" i="1" a="1"/>
  <c r="T18" i="1" s="1"/>
  <c r="Q18" i="1" s="1" a="1"/>
  <c r="Q18" i="1" s="1"/>
  <c r="S17" i="1" a="1"/>
  <c r="S17" i="1" s="1"/>
  <c r="P17" i="1" s="1"/>
  <c r="T17" i="1" a="1"/>
  <c r="T17" i="1" s="1"/>
  <c r="Q17" i="1" s="1" a="1"/>
  <c r="Q17" i="1" s="1"/>
  <c r="S19" i="1" a="1"/>
  <c r="S19" i="1" s="1"/>
  <c r="P19" i="1" s="1"/>
  <c r="T19" i="1" a="1"/>
  <c r="T19" i="1" s="1"/>
  <c r="Q19" i="1" s="1" a="1"/>
  <c r="Q19" i="1" s="1"/>
  <c r="S20" i="1" a="1"/>
  <c r="S20" i="1" s="1"/>
  <c r="P20" i="1" s="1"/>
  <c r="T20" i="1" a="1"/>
  <c r="T20" i="1" s="1"/>
  <c r="Q20" i="1" s="1" a="1"/>
  <c r="Q20" i="1" s="1"/>
  <c r="S35" i="1" a="1"/>
  <c r="S35" i="1" s="1"/>
  <c r="P35" i="1" s="1"/>
  <c r="T35" i="1" a="1"/>
  <c r="T35" i="1" s="1"/>
  <c r="Q35" i="1" s="1" a="1"/>
  <c r="Q35" i="1" s="1"/>
  <c r="S39" i="1" a="1"/>
  <c r="S39" i="1" s="1"/>
  <c r="P39" i="1" s="1"/>
  <c r="T39" i="1" a="1"/>
  <c r="T39" i="1" s="1"/>
  <c r="Q39" i="1" s="1" a="1"/>
  <c r="Q39" i="1" s="1"/>
  <c r="S45" i="1" a="1"/>
  <c r="S45" i="1" s="1"/>
  <c r="P45" i="1" s="1"/>
  <c r="T45" i="1" a="1"/>
  <c r="T45" i="1" s="1"/>
  <c r="Q45" i="1" s="1" a="1"/>
  <c r="Q45" i="1" s="1"/>
  <c r="S36" i="1" a="1"/>
  <c r="S36" i="1" s="1"/>
  <c r="P36" i="1" s="1"/>
  <c r="T36" i="1" a="1"/>
  <c r="T36" i="1" s="1"/>
  <c r="Q36" i="1" s="1" a="1"/>
  <c r="Q36" i="1" s="1"/>
  <c r="S47" i="1" a="1"/>
  <c r="S47" i="1" s="1"/>
  <c r="P47" i="1" s="1"/>
  <c r="T47" i="1" a="1"/>
  <c r="T47" i="1" s="1"/>
  <c r="Q47" i="1" s="1" a="1"/>
  <c r="Q47" i="1" s="1"/>
  <c r="S51" i="1" a="1"/>
  <c r="S51" i="1" s="1"/>
  <c r="P51" i="1" s="1"/>
  <c r="T51" i="1" a="1"/>
  <c r="T51" i="1" s="1"/>
  <c r="Q51" i="1" s="1" a="1"/>
  <c r="Q51" i="1" s="1"/>
  <c r="S52" i="1" a="1"/>
  <c r="S52" i="1" s="1"/>
  <c r="P52" i="1" s="1"/>
  <c r="T52" i="1" a="1"/>
  <c r="T52" i="1" s="1"/>
  <c r="Q52" i="1" s="1" a="1"/>
  <c r="Q52" i="1" s="1"/>
  <c r="S50" i="1" a="1"/>
  <c r="S50" i="1" s="1"/>
  <c r="P50" i="1" s="1"/>
  <c r="T50" i="1" a="1"/>
  <c r="T50" i="1" s="1"/>
  <c r="S53" i="1" a="1"/>
  <c r="S53" i="1" s="1"/>
  <c r="P53" i="1" s="1"/>
  <c r="T53" i="1" a="1"/>
  <c r="T53" i="1" s="1"/>
  <c r="Q53" i="1" s="1" a="1"/>
  <c r="Q53" i="1" s="1"/>
  <c r="S49" i="1" a="1"/>
  <c r="S49" i="1" s="1"/>
  <c r="P49" i="1" s="1"/>
  <c r="T49" i="1" a="1"/>
  <c r="T49" i="1" s="1"/>
  <c r="Q49" i="1" s="1" a="1"/>
  <c r="Q49" i="1" s="1"/>
  <c r="C6" i="3"/>
  <c r="C5" i="3"/>
  <c r="C4" i="3"/>
  <c r="E2" i="3" a="1"/>
  <c r="E2" i="3" s="1"/>
  <c r="C3" i="3"/>
  <c r="M6" i="2"/>
  <c r="M5" i="2"/>
  <c r="P3" i="1" s="1"/>
  <c r="M4" i="2"/>
  <c r="M3" i="2"/>
  <c r="M13" i="2" s="1"/>
  <c r="O40" i="1" l="1"/>
  <c r="O16" i="1"/>
  <c r="O48" i="1"/>
  <c r="M43" i="1"/>
  <c r="M27" i="1"/>
  <c r="M11" i="1"/>
  <c r="N50" i="1"/>
  <c r="N34" i="1"/>
  <c r="N18" i="1"/>
  <c r="N58" i="1"/>
  <c r="M57" i="1"/>
  <c r="M42" i="1"/>
  <c r="M26" i="1"/>
  <c r="O26" i="1" s="1"/>
  <c r="N49" i="1"/>
  <c r="O49" i="1" s="1"/>
  <c r="N33" i="1"/>
  <c r="N17" i="1"/>
  <c r="O17" i="1" s="1"/>
  <c r="N57" i="1"/>
  <c r="M41" i="1"/>
  <c r="M25" i="1"/>
  <c r="N32" i="1"/>
  <c r="P48" i="1"/>
  <c r="M56" i="1"/>
  <c r="M24" i="1"/>
  <c r="M8" i="1"/>
  <c r="N47" i="1"/>
  <c r="O31" i="1"/>
  <c r="N15" i="1"/>
  <c r="M55" i="1"/>
  <c r="O55" i="1" s="1"/>
  <c r="M39" i="1"/>
  <c r="M23" i="1"/>
  <c r="M7" i="1"/>
  <c r="N46" i="1"/>
  <c r="N30" i="1"/>
  <c r="N14" i="1"/>
  <c r="P40" i="1"/>
  <c r="M54" i="1"/>
  <c r="N45" i="1"/>
  <c r="N29" i="1"/>
  <c r="N13" i="1"/>
  <c r="P38" i="1"/>
  <c r="S38" i="1" s="1" a="1"/>
  <c r="S38" i="1" s="1"/>
  <c r="M53" i="1"/>
  <c r="M37" i="1"/>
  <c r="O37" i="1" s="1"/>
  <c r="M21" i="1"/>
  <c r="O21" i="1" s="1"/>
  <c r="M5" i="1"/>
  <c r="N44" i="1"/>
  <c r="O44" i="1" s="1"/>
  <c r="O28" i="1"/>
  <c r="N12" i="1"/>
  <c r="M52" i="1"/>
  <c r="M36" i="1"/>
  <c r="M20" i="1"/>
  <c r="M4" i="1"/>
  <c r="N43" i="1"/>
  <c r="N27" i="1"/>
  <c r="N11" i="1"/>
  <c r="P31" i="1"/>
  <c r="M51" i="1"/>
  <c r="M35" i="1"/>
  <c r="M19" i="1"/>
  <c r="N42" i="1"/>
  <c r="N26" i="1"/>
  <c r="P28" i="1"/>
  <c r="M50" i="1"/>
  <c r="M34" i="1"/>
  <c r="O34" i="1" s="1"/>
  <c r="M18" i="1"/>
  <c r="O18" i="1" s="1"/>
  <c r="M58" i="1"/>
  <c r="N41" i="1"/>
  <c r="N25" i="1"/>
  <c r="P22" i="1"/>
  <c r="M49" i="1"/>
  <c r="M33" i="1"/>
  <c r="M17" i="1"/>
  <c r="N56" i="1"/>
  <c r="N24" i="1"/>
  <c r="N8" i="1"/>
  <c r="P16" i="1"/>
  <c r="M32" i="1"/>
  <c r="N55" i="1"/>
  <c r="N39" i="1"/>
  <c r="N23" i="1"/>
  <c r="N7" i="1"/>
  <c r="M47" i="1"/>
  <c r="O47" i="1" s="1"/>
  <c r="M15" i="1"/>
  <c r="N54" i="1"/>
  <c r="O54" i="1" s="1"/>
  <c r="P10" i="1"/>
  <c r="M46" i="1"/>
  <c r="M30" i="1"/>
  <c r="M14" i="1"/>
  <c r="N53" i="1"/>
  <c r="O53" i="1" s="1"/>
  <c r="N37" i="1"/>
  <c r="N21" i="1"/>
  <c r="N5" i="1"/>
  <c r="P9" i="1"/>
  <c r="M45" i="1"/>
  <c r="M29" i="1"/>
  <c r="M13" i="1"/>
  <c r="N52" i="1"/>
  <c r="N36" i="1"/>
  <c r="N20" i="1"/>
  <c r="N4" i="1"/>
  <c r="P6" i="1"/>
  <c r="M44" i="1"/>
  <c r="M12" i="1"/>
  <c r="N51" i="1"/>
  <c r="N35" i="1"/>
  <c r="N19" i="1"/>
  <c r="O38" i="1"/>
  <c r="O22" i="1"/>
  <c r="O6" i="1"/>
  <c r="O30" i="1"/>
  <c r="O27" i="1"/>
  <c r="O11" i="1"/>
  <c r="U4" i="1"/>
  <c r="U52" i="1"/>
  <c r="U18" i="1"/>
  <c r="U49" i="1"/>
  <c r="U36" i="1"/>
  <c r="U5" i="1"/>
  <c r="U53" i="1"/>
  <c r="R53" i="1"/>
  <c r="Q32" i="1" a="1"/>
  <c r="Q32" i="1" s="1"/>
  <c r="R32" i="1" s="1"/>
  <c r="U32" i="1"/>
  <c r="U7" i="1"/>
  <c r="R52" i="1"/>
  <c r="R24" i="1"/>
  <c r="U13" i="1"/>
  <c r="R25" i="1"/>
  <c r="U25" i="1"/>
  <c r="U17" i="1"/>
  <c r="R17" i="1"/>
  <c r="Q50" i="1" a="1"/>
  <c r="Q50" i="1" s="1"/>
  <c r="R50" i="1" s="1"/>
  <c r="U50" i="1"/>
  <c r="U45" i="1"/>
  <c r="R45" i="1"/>
  <c r="U34" i="1"/>
  <c r="R34" i="1"/>
  <c r="U37" i="1"/>
  <c r="R37" i="1"/>
  <c r="R14" i="1"/>
  <c r="U14" i="1"/>
  <c r="U11" i="1"/>
  <c r="R11" i="1"/>
  <c r="R44" i="1"/>
  <c r="U44" i="1"/>
  <c r="R39" i="1"/>
  <c r="U39" i="1"/>
  <c r="Q43" i="1" a="1"/>
  <c r="Q43" i="1" s="1"/>
  <c r="R43" i="1" s="1"/>
  <c r="U43" i="1"/>
  <c r="R15" i="1"/>
  <c r="U15" i="1"/>
  <c r="U35" i="1"/>
  <c r="R35" i="1"/>
  <c r="Q33" i="1" a="1"/>
  <c r="Q33" i="1" s="1"/>
  <c r="R33" i="1" s="1"/>
  <c r="U33" i="1"/>
  <c r="R30" i="1"/>
  <c r="U30" i="1"/>
  <c r="R8" i="1"/>
  <c r="U8" i="1"/>
  <c r="R41" i="1"/>
  <c r="U41" i="1"/>
  <c r="U20" i="1"/>
  <c r="R20" i="1"/>
  <c r="U26" i="1"/>
  <c r="R26" i="1"/>
  <c r="Q9" i="1" a="1"/>
  <c r="Q9" i="1" s="1"/>
  <c r="T9" i="1" s="1" a="1"/>
  <c r="T9" i="1" s="1"/>
  <c r="Q48" i="1" a="1"/>
  <c r="Q48" i="1" s="1"/>
  <c r="T48" i="1" s="1" a="1"/>
  <c r="T48" i="1" s="1"/>
  <c r="U19" i="1"/>
  <c r="Q3" i="1" a="1"/>
  <c r="Q3" i="1" s="1"/>
  <c r="T3" i="1" s="1" a="1"/>
  <c r="T3" i="1" s="1"/>
  <c r="R19" i="1"/>
  <c r="U27" i="1"/>
  <c r="Q10" i="1" a="1"/>
  <c r="Q10" i="1" s="1"/>
  <c r="T10" i="1" s="1" a="1"/>
  <c r="T10" i="1" s="1"/>
  <c r="U54" i="1"/>
  <c r="Q6" i="1" a="1"/>
  <c r="Q6" i="1" s="1"/>
  <c r="T6" i="1" s="1" a="1"/>
  <c r="T6" i="1" s="1"/>
  <c r="U29" i="1"/>
  <c r="U51" i="1"/>
  <c r="Q16" i="1" a="1"/>
  <c r="Q16" i="1" s="1"/>
  <c r="T16" i="1" s="1" a="1"/>
  <c r="T16" i="1" s="1"/>
  <c r="Q31" i="1" a="1"/>
  <c r="Q31" i="1" s="1"/>
  <c r="T31" i="1" s="1" a="1"/>
  <c r="T31" i="1" s="1"/>
  <c r="S31" i="1" a="1"/>
  <c r="S31" i="1" s="1"/>
  <c r="Q38" i="1" a="1"/>
  <c r="Q38" i="1" s="1"/>
  <c r="T38" i="1" s="1" a="1"/>
  <c r="T38" i="1" s="1"/>
  <c r="R27" i="1"/>
  <c r="R47" i="1"/>
  <c r="U47" i="1"/>
  <c r="R42" i="1"/>
  <c r="U42" i="1"/>
  <c r="U12" i="1"/>
  <c r="R18" i="1"/>
  <c r="R51" i="1"/>
  <c r="R12" i="1"/>
  <c r="R29" i="1"/>
  <c r="R54" i="1"/>
  <c r="U24" i="1"/>
  <c r="S48" i="1" a="1"/>
  <c r="S48" i="1" s="1"/>
  <c r="R13" i="1"/>
  <c r="O7" i="1" l="1"/>
  <c r="O42" i="1"/>
  <c r="O23" i="1"/>
  <c r="O15" i="1"/>
  <c r="O39" i="1"/>
  <c r="O41" i="1"/>
  <c r="O36" i="1"/>
  <c r="O20" i="1"/>
  <c r="O52" i="1"/>
  <c r="O4" i="1"/>
  <c r="O25" i="1"/>
  <c r="O8" i="1"/>
  <c r="O14" i="1"/>
  <c r="O56" i="1"/>
  <c r="O43" i="1"/>
  <c r="O33" i="1"/>
  <c r="O46" i="1"/>
  <c r="O12" i="1"/>
  <c r="O58" i="1"/>
  <c r="O50" i="1"/>
  <c r="O57" i="1"/>
  <c r="O13" i="1"/>
  <c r="O19" i="1"/>
  <c r="O24" i="1"/>
  <c r="O29" i="1"/>
  <c r="O32" i="1"/>
  <c r="O35" i="1"/>
  <c r="O5" i="1"/>
  <c r="O45" i="1"/>
  <c r="O51" i="1"/>
  <c r="R31" i="1"/>
  <c r="R3" i="1"/>
  <c r="U31" i="1"/>
  <c r="U38" i="1"/>
  <c r="U48" i="1"/>
  <c r="R16" i="1"/>
  <c r="R48" i="1"/>
  <c r="S3" i="1" a="1"/>
  <c r="S3" i="1" s="1"/>
  <c r="U3" i="1" s="1"/>
  <c r="R9" i="1"/>
  <c r="S9" i="1" a="1"/>
  <c r="S9" i="1" s="1"/>
  <c r="U9" i="1" s="1"/>
  <c r="S16" i="1" a="1"/>
  <c r="S16" i="1" s="1"/>
  <c r="U16" i="1" s="1"/>
  <c r="R6" i="1"/>
  <c r="S6" i="1" a="1"/>
  <c r="S6" i="1" s="1"/>
  <c r="U6" i="1" s="1"/>
  <c r="R38" i="1"/>
  <c r="R10" i="1"/>
  <c r="S10" i="1" a="1"/>
  <c r="S10" i="1" s="1"/>
  <c r="U10" i="1" s="1"/>
  <c r="R5" i="1"/>
  <c r="R4" i="1" l="1"/>
  <c r="R49" i="1" l="1"/>
  <c r="R36" i="1" l="1"/>
  <c r="R7" i="1" l="1"/>
  <c r="T23" i="1" l="1" a="1"/>
  <c r="T23" i="1" s="1"/>
  <c r="S23" i="1" a="1"/>
  <c r="S23" i="1" s="1"/>
  <c r="P23" i="1" s="1"/>
  <c r="U23" i="1" l="1"/>
  <c r="Q23" i="1" a="1"/>
  <c r="Q23" i="1" s="1"/>
  <c r="R23" i="1" l="1"/>
  <c r="T56" i="1" l="1" a="1"/>
  <c r="T56" i="1" s="1"/>
  <c r="S56" i="1" a="1"/>
  <c r="S56" i="1" s="1"/>
  <c r="P56" i="1" s="1"/>
  <c r="Q56" i="1" l="1" a="1"/>
  <c r="Q56" i="1" s="1"/>
  <c r="U56" i="1"/>
  <c r="T55" i="1" a="1"/>
  <c r="T55" i="1" s="1"/>
  <c r="S55" i="1" a="1"/>
  <c r="S55" i="1" s="1"/>
  <c r="P55" i="1" s="1"/>
  <c r="R56" i="1" l="1"/>
  <c r="U55" i="1"/>
  <c r="Q55" i="1" a="1"/>
  <c r="Q55" i="1" s="1"/>
  <c r="R55" i="1" l="1"/>
  <c r="Q22" i="1" a="1"/>
  <c r="Q22" i="1" s="1"/>
  <c r="T22" i="1" s="1" a="1"/>
  <c r="T22" i="1" s="1"/>
  <c r="R22" i="1" l="1"/>
  <c r="S22" i="1" a="1"/>
  <c r="S22" i="1" s="1"/>
  <c r="U22" i="1" l="1"/>
  <c r="T46" i="1" l="1" a="1"/>
  <c r="T46" i="1" s="1"/>
  <c r="S46" i="1" a="1"/>
  <c r="S46" i="1" s="1"/>
  <c r="P46" i="1" s="1"/>
  <c r="Q46" i="1" l="1" a="1"/>
  <c r="Q46" i="1" s="1"/>
  <c r="U46" i="1"/>
  <c r="R46" i="1" l="1"/>
  <c r="S21" i="1" l="1" a="1"/>
  <c r="S21" i="1" s="1"/>
  <c r="P21" i="1" s="1"/>
  <c r="T21" i="1" a="1"/>
  <c r="T21" i="1" s="1"/>
  <c r="Q21" i="1" s="1" a="1"/>
  <c r="Q21" i="1" s="1"/>
  <c r="U21" i="1" l="1"/>
  <c r="R21" i="1"/>
  <c r="Q40" i="1" l="1" a="1"/>
  <c r="Q40" i="1" s="1"/>
  <c r="T40" i="1" s="1" a="1"/>
  <c r="T40" i="1" s="1"/>
  <c r="R40" i="1" l="1"/>
  <c r="S40" i="1" a="1"/>
  <c r="S40" i="1" s="1"/>
  <c r="U40" i="1" l="1"/>
  <c r="Q28" i="1" a="1"/>
  <c r="Q28" i="1" s="1"/>
  <c r="T28" i="1" s="1" a="1"/>
  <c r="T28" i="1" s="1"/>
  <c r="S28" i="1" l="1" a="1"/>
  <c r="S28" i="1" s="1"/>
  <c r="R28" i="1"/>
  <c r="U28" i="1" l="1"/>
  <c r="S57" i="1" l="1" a="1"/>
  <c r="S57" i="1" s="1"/>
  <c r="P57" i="1" s="1"/>
  <c r="T57" i="1" a="1"/>
  <c r="T57" i="1" s="1"/>
  <c r="Q57" i="1" l="1" a="1"/>
  <c r="Q57" i="1" s="1"/>
  <c r="U57" i="1"/>
  <c r="R57" i="1"/>
  <c r="S58" i="1" a="1"/>
  <c r="S58" i="1" s="1"/>
  <c r="P58" i="1" s="1"/>
  <c r="T58" i="1" a="1"/>
  <c r="T58" i="1" s="1"/>
  <c r="Q58" i="1" l="1" a="1"/>
  <c r="Q58" i="1" s="1"/>
  <c r="C7" i="3"/>
  <c r="U58" i="1"/>
  <c r="C8" i="3" a="1"/>
  <c r="C8" i="3" s="1"/>
  <c r="R58"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987E0B-27AE-43B5-916A-ADA83DFBA6C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30DFAF-D33F-4E95-AD85-19C4E3E34E59}" name="WorksheetConnection_ApplicationTracker" type="102" refreshedVersion="8" minRefreshableVersion="5" saveData="1">
    <extLst>
      <ext xmlns:x15="http://schemas.microsoft.com/office/spreadsheetml/2010/11/main" uri="{DE250136-89BD-433C-8126-D09CA5730AF9}">
        <x15:connection id="ApplicationTracker">
          <x15:rangePr sourceName="_xlcn.WorksheetConnection_ApplicationTracker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8">
    <bk>
      <extLst>
        <ext uri="{3e2802c4-a4d2-4d8b-9148-e3be6c30e623}">
          <xlrd:rvb i="0"/>
        </ext>
      </extLst>
    </bk>
    <bk>
      <extLst>
        <ext uri="{3e2802c4-a4d2-4d8b-9148-e3be6c30e623}">
          <xlrd:rvb i="126"/>
        </ext>
      </extLst>
    </bk>
    <bk>
      <extLst>
        <ext uri="{3e2802c4-a4d2-4d8b-9148-e3be6c30e623}">
          <xlrd:rvb i="33"/>
        </ext>
      </extLst>
    </bk>
    <bk>
      <extLst>
        <ext uri="{3e2802c4-a4d2-4d8b-9148-e3be6c30e623}">
          <xlrd:rvb i="136"/>
        </ext>
      </extLst>
    </bk>
    <bk>
      <extLst>
        <ext uri="{3e2802c4-a4d2-4d8b-9148-e3be6c30e623}">
          <xlrd:rvb i="145"/>
        </ext>
      </extLst>
    </bk>
    <bk>
      <extLst>
        <ext uri="{3e2802c4-a4d2-4d8b-9148-e3be6c30e623}">
          <xlrd:rvb i="157"/>
        </ext>
      </extLst>
    </bk>
    <bk>
      <extLst>
        <ext uri="{3e2802c4-a4d2-4d8b-9148-e3be6c30e623}">
          <xlrd:rvb i="174"/>
        </ext>
      </extLst>
    </bk>
    <bk>
      <extLst>
        <ext uri="{3e2802c4-a4d2-4d8b-9148-e3be6c30e623}">
          <xlrd:rvb i="148"/>
        </ext>
      </extLst>
    </bk>
    <bk>
      <extLst>
        <ext uri="{3e2802c4-a4d2-4d8b-9148-e3be6c30e623}">
          <xlrd:rvb i="183"/>
        </ext>
      </extLst>
    </bk>
    <bk>
      <extLst>
        <ext uri="{3e2802c4-a4d2-4d8b-9148-e3be6c30e623}">
          <xlrd:rvb i="195"/>
        </ext>
      </extLst>
    </bk>
    <bk>
      <extLst>
        <ext uri="{3e2802c4-a4d2-4d8b-9148-e3be6c30e623}">
          <xlrd:rvb i="196"/>
        </ext>
      </extLst>
    </bk>
    <bk>
      <extLst>
        <ext uri="{3e2802c4-a4d2-4d8b-9148-e3be6c30e623}">
          <xlrd:rvb i="205"/>
        </ext>
      </extLst>
    </bk>
    <bk>
      <extLst>
        <ext uri="{3e2802c4-a4d2-4d8b-9148-e3be6c30e623}">
          <xlrd:rvb i="216"/>
        </ext>
      </extLst>
    </bk>
    <bk>
      <extLst>
        <ext uri="{3e2802c4-a4d2-4d8b-9148-e3be6c30e623}">
          <xlrd:rvb i="227"/>
        </ext>
      </extLst>
    </bk>
    <bk>
      <extLst>
        <ext uri="{3e2802c4-a4d2-4d8b-9148-e3be6c30e623}">
          <xlrd:rvb i="238"/>
        </ext>
      </extLst>
    </bk>
    <bk>
      <extLst>
        <ext uri="{3e2802c4-a4d2-4d8b-9148-e3be6c30e623}">
          <xlrd:rvb i="250"/>
        </ext>
      </extLst>
    </bk>
    <bk>
      <extLst>
        <ext uri="{3e2802c4-a4d2-4d8b-9148-e3be6c30e623}">
          <xlrd:rvb i="261"/>
        </ext>
      </extLst>
    </bk>
    <bk>
      <extLst>
        <ext uri="{3e2802c4-a4d2-4d8b-9148-e3be6c30e623}">
          <xlrd:rvb i="267"/>
        </ext>
      </extLst>
    </bk>
    <bk>
      <extLst>
        <ext uri="{3e2802c4-a4d2-4d8b-9148-e3be6c30e623}">
          <xlrd:rvb i="275"/>
        </ext>
      </extLst>
    </bk>
    <bk>
      <extLst>
        <ext uri="{3e2802c4-a4d2-4d8b-9148-e3be6c30e623}">
          <xlrd:rvb i="287"/>
        </ext>
      </extLst>
    </bk>
    <bk>
      <extLst>
        <ext uri="{3e2802c4-a4d2-4d8b-9148-e3be6c30e623}">
          <xlrd:rvb i="298"/>
        </ext>
      </extLst>
    </bk>
    <bk>
      <extLst>
        <ext uri="{3e2802c4-a4d2-4d8b-9148-e3be6c30e623}">
          <xlrd:rvb i="309"/>
        </ext>
      </extLst>
    </bk>
    <bk>
      <extLst>
        <ext uri="{3e2802c4-a4d2-4d8b-9148-e3be6c30e623}">
          <xlrd:rvb i="320"/>
        </ext>
      </extLst>
    </bk>
    <bk>
      <extLst>
        <ext uri="{3e2802c4-a4d2-4d8b-9148-e3be6c30e623}">
          <xlrd:rvb i="331"/>
        </ext>
      </extLst>
    </bk>
    <bk>
      <extLst>
        <ext uri="{3e2802c4-a4d2-4d8b-9148-e3be6c30e623}">
          <xlrd:rvb i="342"/>
        </ext>
      </extLst>
    </bk>
    <bk>
      <extLst>
        <ext uri="{3e2802c4-a4d2-4d8b-9148-e3be6c30e623}">
          <xlrd:rvb i="352"/>
        </ext>
      </extLst>
    </bk>
    <bk>
      <extLst>
        <ext uri="{3e2802c4-a4d2-4d8b-9148-e3be6c30e623}">
          <xlrd:rvb i="362"/>
        </ext>
      </extLst>
    </bk>
    <bk>
      <extLst>
        <ext uri="{3e2802c4-a4d2-4d8b-9148-e3be6c30e623}">
          <xlrd:rvb i="370"/>
        </ext>
      </extLst>
    </bk>
  </futureMetadata>
  <cellMetadata count="1">
    <bk>
      <rc t="1" v="0"/>
    </bk>
  </cellMetadata>
  <valueMetadata count="28">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valueMetadata>
</metadata>
</file>

<file path=xl/sharedStrings.xml><?xml version="1.0" encoding="utf-8"?>
<sst xmlns="http://schemas.openxmlformats.org/spreadsheetml/2006/main" count="481" uniqueCount="232">
  <si>
    <t>Job Applications</t>
  </si>
  <si>
    <t>Status</t>
  </si>
  <si>
    <t>Job Title</t>
  </si>
  <si>
    <t>Company</t>
  </si>
  <si>
    <t>Location</t>
  </si>
  <si>
    <t>Low</t>
  </si>
  <si>
    <t>High</t>
  </si>
  <si>
    <t>Monthly</t>
  </si>
  <si>
    <t>Yearly</t>
  </si>
  <si>
    <t>Salaried</t>
  </si>
  <si>
    <t>Binary</t>
  </si>
  <si>
    <t>Yes</t>
  </si>
  <si>
    <t>Favourability</t>
  </si>
  <si>
    <t>No</t>
  </si>
  <si>
    <t>Date</t>
  </si>
  <si>
    <t>Link</t>
  </si>
  <si>
    <t>Updated</t>
  </si>
  <si>
    <t>Office</t>
  </si>
  <si>
    <t>In Office</t>
  </si>
  <si>
    <t>Remote</t>
  </si>
  <si>
    <t>Hybrid</t>
  </si>
  <si>
    <t>https://mavistire.applicantpro.com/jobs/3898860.html</t>
  </si>
  <si>
    <t>Applied</t>
  </si>
  <si>
    <t>In Review</t>
  </si>
  <si>
    <t>Interviewing</t>
  </si>
  <si>
    <t>Accepted</t>
  </si>
  <si>
    <t>Rejected</t>
  </si>
  <si>
    <t>Recruitment</t>
  </si>
  <si>
    <t>Recruiter</t>
  </si>
  <si>
    <t>Company Site</t>
  </si>
  <si>
    <t>Indeed</t>
  </si>
  <si>
    <t>LinkedIn</t>
  </si>
  <si>
    <t>HandShake</t>
  </si>
  <si>
    <t>USAJobs</t>
  </si>
  <si>
    <t>Liberty Careers</t>
  </si>
  <si>
    <t>IT Junior Help Desk Technician</t>
  </si>
  <si>
    <t>Mavis Tire</t>
  </si>
  <si>
    <t>M-L</t>
  </si>
  <si>
    <t>M-H</t>
  </si>
  <si>
    <t>Y-L</t>
  </si>
  <si>
    <t>Y-H</t>
  </si>
  <si>
    <t>Lists</t>
  </si>
  <si>
    <t>Fulltime 40 Year</t>
  </si>
  <si>
    <t>Fulltime 35 Year</t>
  </si>
  <si>
    <t>Fulltime 40 month</t>
  </si>
  <si>
    <t>Fulltime 35 Month</t>
  </si>
  <si>
    <t>Working Day 35</t>
  </si>
  <si>
    <t>Working Day 40</t>
  </si>
  <si>
    <t>YearWeeks</t>
  </si>
  <si>
    <t>Working Week</t>
  </si>
  <si>
    <t>Federal Holidays</t>
  </si>
  <si>
    <t>Month in Weeks</t>
  </si>
  <si>
    <t>Unit</t>
  </si>
  <si>
    <t>Description</t>
  </si>
  <si>
    <t>Hours</t>
  </si>
  <si>
    <t>Weeks</t>
  </si>
  <si>
    <t>Days</t>
  </si>
  <si>
    <t>Average Work Hours</t>
  </si>
  <si>
    <t>Want</t>
  </si>
  <si>
    <t>Help Desk Specialist</t>
  </si>
  <si>
    <t>Atlantic Partners Corporation</t>
  </si>
  <si>
    <t>https://www.linkedin.com/jobs/view/4151641056/?trk=flagship3_job_home_appliedjobs&amp;refId=375f488c-b819-4c34-bc75-329c40d9b132&amp;trackingId=%2FfG2shYqQluOxAg6qfuA8g%3D%3D</t>
  </si>
  <si>
    <t>Information Technology Security Engineer</t>
  </si>
  <si>
    <t>IZAR Associates</t>
  </si>
  <si>
    <t>https://www.linkedin.com/jobs/view/4335555260/?trk=flagship3_job_home_appliedjobs&amp;refId=375f488c-b819-4c34-bc75-329c40d9b132&amp;trackingId=ZcNfb4sBTsCNm2VqKflZXw%3D%3D</t>
  </si>
  <si>
    <t>IT Support Specialist</t>
  </si>
  <si>
    <t>Cassin &amp; Cassin</t>
  </si>
  <si>
    <t>https://www.linkedin.com/jobs/view/4325564926/?trk=flagship3_job_home_appliedjobs&amp;refId=febdfddb-a4d4-44ed-960a-e8227507d572&amp;trackingId=tc23uUacTIKUre4C7drtgg%3D%3D</t>
  </si>
  <si>
    <t>https://www.linkedin.com/jobs/view/4344870886/?trk=flagship3_job_home_appliedjobs&amp;refId=febdfddb-a4d4-44ed-960a-e8227507d572&amp;trackingId=Nj1uYrcQSfCQVwBW22bQcw%3D%3D</t>
  </si>
  <si>
    <t>Likely</t>
  </si>
  <si>
    <t>DeskTop Support Specialist</t>
  </si>
  <si>
    <t>Gotham Technology Group</t>
  </si>
  <si>
    <t>https://www.linkedin.com/jobs/view/4342594825/?trk=flagship3_job_home_appliedjobs&amp;refId=febdfddb-a4d4-44ed-960a-e8227507d572&amp;trackingId=l7FaC3X5TwWgHAaAlK9qmg%3D%3D</t>
  </si>
  <si>
    <t>Help Desk Technician</t>
  </si>
  <si>
    <t>PRI Technology</t>
  </si>
  <si>
    <t>https://www.linkedin.com/jobs/view/4338396895/?trk=flagship3_job_home_appliedjobs&amp;refId=febdfddb-a4d4-44ed-960a-e8227507d572&amp;trackingId=BeFYlv5qT26R8Be7IX2%2FdA%3D%3D</t>
  </si>
  <si>
    <t>Information Technology Support Specialist</t>
  </si>
  <si>
    <t>Clarity Recruiting</t>
  </si>
  <si>
    <t>https://www.linkedin.com/jobs/view/4350183070/?trk=flagship3_job_home_appliedjobs&amp;refId=febdfddb-a4d4-44ed-960a-e8227507d572&amp;trackingId=mvfmylnGTh2Lgdj4eGna7w%3D%3D</t>
  </si>
  <si>
    <t>IT Systems Manager</t>
  </si>
  <si>
    <t>Robert Half</t>
  </si>
  <si>
    <t>https://www.linkedin.com/jobs/view/4325339009/?trk=flagship3_job_home_appliedjobs&amp;refId=febdfddb-a4d4-44ed-960a-e8227507d572&amp;trackingId=AA0%2FhrlhQ7Stcoaslx1%2FuQ%3D%3D</t>
  </si>
  <si>
    <t>Information Technology Manager</t>
  </si>
  <si>
    <t>https://www.linkedin.com/jobs/view/4327867251/?trk=flagship3_job_home_appliedjobs&amp;refId=febdfddb-a4d4-44ed-960a-e8227507d572&amp;trackingId=%2F4JV5%2F3cR%2FSAWDM%2BF4AaQg%3D%3D</t>
  </si>
  <si>
    <t>Insight Global</t>
  </si>
  <si>
    <t>https://www.linkedin.com/jobs/view/4326228333/?trk=flagship3_job_home_appliedjobs&amp;refId=5828f947-e679-4438-b42b-d487d75ff755&amp;trackingId=zI%2FQqamVSWSHhDb6fNM5Pw%3D%3D</t>
  </si>
  <si>
    <t>IT Analyst</t>
  </si>
  <si>
    <t>Tully Rinckey PLLC</t>
  </si>
  <si>
    <t>https://www.linkedin.com/jobs/view/4344843114/?trk=flagship3_job_home_appliedjobs&amp;refId=2ef7fb33-b472-46d9-885b-a82dcb344694&amp;trackingId=f%2FkqYiZfTvqGZHat%2F%2FUXnw%3D%3D</t>
  </si>
  <si>
    <t>Cipriani</t>
  </si>
  <si>
    <t>https://www.linkedin.com/jobs/view/4327954396/?trk=flagship3_job_home_appliedjobs&amp;refId=760bc407-97a8-4e61-adab-f871eacd1b8e&amp;trackingId=qQQ%2FyQVXQmSIYUIDET8dAw%3D%3D</t>
  </si>
  <si>
    <t>Application Support Technician</t>
  </si>
  <si>
    <t>Prestige Staffing</t>
  </si>
  <si>
    <t>https://www.linkedin.com/jobs/view/4339994245/?trk=flagship3_job_home_appliedjobs&amp;refId=760bc407-97a8-4e61-adab-f871eacd1b8e&amp;trackingId=PaXX91GPTDaTwU70hO0NBQ%3D%3D</t>
  </si>
  <si>
    <t>Information Technology Help Desk Technician</t>
  </si>
  <si>
    <t>Trustpoint.One</t>
  </si>
  <si>
    <t>https://www.linkedin.com/jobs/view/4348333415/?trk=flagship3_job_home_appliedjobs&amp;refId=760bc407-97a8-4e61-adab-f871eacd1b8e&amp;trackingId=b7VRzYECReCTxalc7%2FYbzA%3D%3D</t>
  </si>
  <si>
    <t>US Tech Solutions</t>
  </si>
  <si>
    <t>https://www.linkedin.com/jobs/view/4350196941/?trk=flagship3_job_home_appliedjobs&amp;refId=760bc407-97a8-4e61-adab-f871eacd1b8e&amp;trackingId=xKi2df3dSTORrKFK6bljEw%3D%3D</t>
  </si>
  <si>
    <t>Help Desk Technician (Tier 2 Agent)</t>
  </si>
  <si>
    <t>A3T</t>
  </si>
  <si>
    <t>https://www.linkedin.com/jobs/view/4305150715/?trk=flagship3_job_home_appliedjobs&amp;refId=760bc407-97a8-4e61-adab-f871eacd1b8e&amp;trackingId=jaou%2FPdRQbeP8ErRJeq3uw%3D%3D</t>
  </si>
  <si>
    <t>Helpdesk/Desktop/IT Support</t>
  </si>
  <si>
    <t>Beacon Hill</t>
  </si>
  <si>
    <t>https://www.linkedin.com/jobs/view/4344483307/?trk=flagship3_job_home_appliedjobs&amp;refId=760bc407-97a8-4e61-adab-f871eacd1b8e&amp;trackingId=v2z%2F%2BXFCRCSIPSDYSK5iVA%3D%3D</t>
  </si>
  <si>
    <t>Help Desk Technician (Nightshift)</t>
  </si>
  <si>
    <t>Trinity Consultants</t>
  </si>
  <si>
    <t>https://www.linkedin.com/jobs/view/4334209448/?trk=flagship3_job_home_appliedjobs&amp;refId=760bc407-97a8-4e61-adab-f871eacd1b8e&amp;trackingId=XUo%2Fw9K%2FTy27U8RqKcD9IA%3D%3D</t>
  </si>
  <si>
    <t>IT Support Specialist (Bilingual)</t>
  </si>
  <si>
    <t>KwickPOS</t>
  </si>
  <si>
    <t>https://www.linkedin.com/jobs/view/4274352393/?trk=flagship3_job_home_appliedjobs&amp;refId=760bc407-97a8-4e61-adab-f871eacd1b8e&amp;trackingId=74GqTDcOQ4msuhkBPWqZFQ%3D%3D</t>
  </si>
  <si>
    <t>IT Help Desk Support Engineer</t>
  </si>
  <si>
    <t>Garam Group</t>
  </si>
  <si>
    <t>https://www.linkedin.com/jobs/view/4344797631/?trk=flagship3_job_home_appliedjobs&amp;refId=760bc407-97a8-4e61-adab-f871eacd1b8e&amp;trackingId=czaHfO2EQ8G6jH%2B3frxQVQ%3D%3D</t>
  </si>
  <si>
    <t>End User Support</t>
  </si>
  <si>
    <t>Inceed</t>
  </si>
  <si>
    <t>https://www.linkedin.com/jobs/view/4322069426/?trk=flagship3_job_home_appliedjobs&amp;refId=4d605dbb-a1cd-491e-866c-fc2d67484931&amp;trackingId=%2Bjh%2BNAKVScaEox450wxgLw%3D%3D</t>
  </si>
  <si>
    <t xml:space="preserve">Entry Level Hire Remote Technical Support - Hardware and Software Products 2026 </t>
  </si>
  <si>
    <t>IBM</t>
  </si>
  <si>
    <t>https://ibmglobal.avature.net/en_US/careers/JobDetail?jobId=73425&amp;src=LinkedIn&amp;source=LinkedIn&amp;tags=&amp;user=&amp;formValues=</t>
  </si>
  <si>
    <t>https://careers.leidos.com/jobs/17167740-jr-system-administrator</t>
  </si>
  <si>
    <t>Jr. System Administrator</t>
  </si>
  <si>
    <t>Leidos</t>
  </si>
  <si>
    <t>Desktop/Tech Support</t>
  </si>
  <si>
    <t>Amtex</t>
  </si>
  <si>
    <t>https://www.linkedin.com/jobs/view/4346297594/?refId=8dadf8f1-ef06-4407-be51-020e13a3758e&amp;trackingId=dM%2BVDoioTgaqScn%2B6n%2BHkg%3D%3D&amp;trk=flagship3_job_home_appliedjobs&amp;lipi=urn%3Ali%3Apage%3Ad_flagship3_myitems_savedjobs%3B9%2Bc75ZuiTd%2BSYqpiXlyGNQ%3D%3D</t>
  </si>
  <si>
    <t>IT Technical support/ Help desk</t>
  </si>
  <si>
    <t>Idexcel</t>
  </si>
  <si>
    <t>https://www.linkedin.com/jobs/view/4329006745/?trk=flagship3_job_home_appliedjobs&amp;refId=c5d92fbd-7b30-4af0-816f-8b26c9c60fc8&amp;trackingId=M7fHAzhTSL%2BcVrX1yOuiUA%3D%3D</t>
  </si>
  <si>
    <t>Information Technology Intern</t>
  </si>
  <si>
    <t>Turtle Beach</t>
  </si>
  <si>
    <t>https://www.linkedin.com/jobs/view/4346252662/?trk=flagship3_job_home_appliedjobs&amp;refId=03bb4b4b-2568-4fc0-80bc-6101dc671f70&amp;trackingId=DenFFZsmQPCqqu60f8wMZg%3D%3D</t>
  </si>
  <si>
    <t>Technical Support Specialist</t>
  </si>
  <si>
    <t>Evrhire</t>
  </si>
  <si>
    <t>https://www.linkedin.com/jobs/view/4329026651/?trk=flagship3_job_home_appliedjobs&amp;refId=03bb4b4b-2568-4fc0-80bc-6101dc671f70&amp;trackingId=%2BP4niXi%2BQFGDHVgjWL0nBw%3D%3D</t>
  </si>
  <si>
    <t>Help Desk Support Technician</t>
  </si>
  <si>
    <t>Trilyon</t>
  </si>
  <si>
    <t>https://www.linkedin.com/jobs/view/4346291704/?trk=flagship3_job_home_appliedjobs&amp;refId=03bb4b4b-2568-4fc0-80bc-6101dc671f70&amp;trackingId=DNeKsXdQR06uqQZtZ32Mbg%3D%3D</t>
  </si>
  <si>
    <t>APplied</t>
  </si>
  <si>
    <t>Help Desk Support Specialist</t>
  </si>
  <si>
    <t>Scuttlebutt Services</t>
  </si>
  <si>
    <t>https://www.linkedin.com/jobs/view/4327246218/?trk=flagship3_job_home_appliedjobs&amp;refId=03bb4b4b-2568-4fc0-80bc-6101dc671f70&amp;trackingId=NvMKA9SUQ6y6ARoXdFGwHA%3D%3D</t>
  </si>
  <si>
    <t>Technical Centre Support Technicians</t>
  </si>
  <si>
    <t>Innovee Consulting</t>
  </si>
  <si>
    <t>https://www.linkedin.com/jobs/view/4345768556/?trk=flagship3_job_home_appliedjobs&amp;refId=03bb4b4b-2568-4fc0-80bc-6101dc671f70&amp;trackingId=rq3LXxsdTHGYLe8dpRdn3Q%3D%3D</t>
  </si>
  <si>
    <t>The Custom Group of Companies</t>
  </si>
  <si>
    <t>https://www.linkedin.com/jobs/view/4328996751/?trk=flagship3_job_home_appliedjobs&amp;refId=03bb4b4b-2568-4fc0-80bc-6101dc671f70&amp;trackingId=Ni%2FUO2PcRq6MSj82ZGTo%2Bg%3D%3D</t>
  </si>
  <si>
    <t>Forum Group</t>
  </si>
  <si>
    <t>https://www.linkedin.com/jobs/view/4342184063/?trk=flagship3_job_home_appliedjobs&amp;refId=03bb4b4b-2568-4fc0-80bc-6101dc671f70&amp;trackingId=oQhFsYisQY%2BX8A508MjD7A%3D%3D</t>
  </si>
  <si>
    <t>Jr. Systems Administrator</t>
  </si>
  <si>
    <t>New York Technology Partners</t>
  </si>
  <si>
    <t>https://www.linkedin.com/jobs/view/4343629578/?trk=flagship3_job_home_appliedjobs&amp;refId=03bb4b4b-2568-4fc0-80bc-6101dc671f70&amp;trackingId=lx9areUpTryKEtHvrSubnQ%3D%3D</t>
  </si>
  <si>
    <t>Security Technician</t>
  </si>
  <si>
    <t>Gate Guard</t>
  </si>
  <si>
    <t>https://www.linkedin.com/jobs/view/4340188803/?trk=flagship3_job_home_appliedjobs&amp;refId=03bb4b4b-2568-4fc0-80bc-6101dc671f70&amp;trackingId=ZfhjqgsxQzmEmQEvzqmqGg%3D%3D</t>
  </si>
  <si>
    <t>https://zrec.in/TdCKf?source=CareerSite</t>
  </si>
  <si>
    <t>Level 1 IT Technician</t>
  </si>
  <si>
    <t>SDG Corp</t>
  </si>
  <si>
    <t>Source</t>
  </si>
  <si>
    <t>https://stonybrooku.taleo.net/careersection/careersection/candidateacquisition/flow.jsf#</t>
  </si>
  <si>
    <t>IT Service Desk Technician - Night Shift - Tuesday and Wednesday Days Off</t>
  </si>
  <si>
    <t>Stony Brook Medicine</t>
  </si>
  <si>
    <t>IT Service Desk Technician - Day Shift - Sunday and Monday Days Off</t>
  </si>
  <si>
    <t>https://stonybrooku.taleo.net/careersection/careersection/2/jobdetail.ftl</t>
  </si>
  <si>
    <t>HigherEd Jobs</t>
  </si>
  <si>
    <t>All Data</t>
  </si>
  <si>
    <t>Locations</t>
  </si>
  <si>
    <t>Data</t>
  </si>
  <si>
    <t>Value</t>
  </si>
  <si>
    <t>Number of Applications</t>
  </si>
  <si>
    <t>Network Engineer Intern</t>
  </si>
  <si>
    <t>Bureau of Network Technology Services</t>
  </si>
  <si>
    <t>IT HELP DESK</t>
  </si>
  <si>
    <t>Bandana</t>
  </si>
  <si>
    <t>IT Service Specialist I</t>
  </si>
  <si>
    <t>Bronx Counter DA</t>
  </si>
  <si>
    <t>Office of Labor Relations</t>
  </si>
  <si>
    <t>NYC Gov</t>
  </si>
  <si>
    <t>Unique Days</t>
  </si>
  <si>
    <t>Unique Locations</t>
  </si>
  <si>
    <t>Unique Companies</t>
  </si>
  <si>
    <t>Accepted?</t>
  </si>
  <si>
    <t>Rejected?</t>
  </si>
  <si>
    <t>Interviewed?</t>
  </si>
  <si>
    <t>Dismissed?</t>
  </si>
  <si>
    <t>Highest Salary Y</t>
  </si>
  <si>
    <t>Lowest Salary Y</t>
  </si>
  <si>
    <t>What</t>
  </si>
  <si>
    <t xml:space="preserve">IT Help Desk Specialist </t>
  </si>
  <si>
    <t>Manhattan DA</t>
  </si>
  <si>
    <t>https://cityjobs.nyc.gov/job/it-help-desk-specialist-in-manhattan-jid-38777</t>
  </si>
  <si>
    <t xml:space="preserve">Desktop Support </t>
  </si>
  <si>
    <t>Admin Trials and Hearings</t>
  </si>
  <si>
    <t>https://cityjobs.nyc.gov/job/desktop-support-in-nyc-all-boros-jid-39239</t>
  </si>
  <si>
    <t>Prefered Bank</t>
  </si>
  <si>
    <t>https://workforcenow.adp.com/mascsr/default/mdf/recruitment/recruitment.html?cid=d00bf761-419c-47c3-be3c-4f1d451312d1&amp;ccId=19000101_000001&amp;jobId=525244&amp;lang=en_US</t>
  </si>
  <si>
    <t>IT Support Operation Analyst</t>
  </si>
  <si>
    <t>Fresh Direct</t>
  </si>
  <si>
    <t>https://prd01-hcm01.prd.mykronos.com/ta/6071600.careers?ApplyToJob=2080649973&amp;LanguageOverride=EN</t>
  </si>
  <si>
    <t>Windows System Engineer</t>
  </si>
  <si>
    <t>AppID</t>
  </si>
  <si>
    <t>Cloud Consultant Intern</t>
  </si>
  <si>
    <t>AWS Professional Services</t>
  </si>
  <si>
    <t>National Security</t>
  </si>
  <si>
    <t>IT Helpdesk / Surveillance Systems Technician</t>
  </si>
  <si>
    <t>CodeBlue Managed Services</t>
  </si>
  <si>
    <t>https://www.indeed.com/viewjob?jk=d664a1d24bd827fb&amp;from=shareddesktop_copy</t>
  </si>
  <si>
    <t>IT Support Engineer I</t>
  </si>
  <si>
    <t>Xantrion</t>
  </si>
  <si>
    <t>https://jobs.xantrion.com/apply/zE3T8GqjoZ/IT-Support-Engineer-I-Hybrid-New-York-City</t>
  </si>
  <si>
    <t>Posted</t>
  </si>
  <si>
    <t>Since Post</t>
  </si>
  <si>
    <t>Since App</t>
  </si>
  <si>
    <t>IT Help Desk Analyst</t>
  </si>
  <si>
    <t>RSC Professional</t>
  </si>
  <si>
    <t>https://rcspro.bamboohr.com/careers/26</t>
  </si>
  <si>
    <t>Dismissed</t>
  </si>
  <si>
    <t>IT Technician</t>
  </si>
  <si>
    <t>DLA Piper</t>
  </si>
  <si>
    <t>https://dlapiper.wd1.myworkdayjobs.com/en-US/dlapiper/job/IT-Technician_R2025-1798</t>
  </si>
  <si>
    <t>IT Technician - Desktop Support</t>
  </si>
  <si>
    <t>https://dlapiper.wd1.myworkdayjobs.com/en-US/dlapiper/job/IT-Technician---Desktop-Support_R2025-1800</t>
  </si>
  <si>
    <t>IT Field Technician Onsite Support</t>
  </si>
  <si>
    <t>Tristate Technology Solutions</t>
  </si>
  <si>
    <t>https://www.ziprecruiter.com/ojob/tristate-technology-solutions-llc/it-field-technician-onsite-support?lvk=hCrkAbQ7BPo81U476bbm9Q</t>
  </si>
  <si>
    <t>Zip Recruiter</t>
  </si>
  <si>
    <t>Jr. IT Support Specialist</t>
  </si>
  <si>
    <t>Hobbs</t>
  </si>
  <si>
    <t>https://www.ziprecruiter.com/ojob/transcendent-talent/jr-it-support-specialist?lvk=fbTy8lqZp8G-GRtJigj6aQ</t>
  </si>
  <si>
    <t>Hourly</t>
  </si>
  <si>
    <t>H-L</t>
  </si>
  <si>
    <t>H-H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</si>
</sst>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809]dd\ mmmm\ yyyy;@"/>
    <numFmt numFmtId="165" formatCode="_-[$$-409]* #,##0.00_ ;_-[$$-409]* \-#,##0.00\ ;_-[$$-409]* &quot;-&quot;??_ ;_-@_ "/>
    <numFmt numFmtId="166" formatCode="_-[$€-2]* #,##0.00_-;\-[$€-2]* #,##0.00_-;_-[$€-2]* &quot;-&quot;??_-"/>
  </numFmts>
  <fonts count="6" x14ac:knownFonts="1">
    <font>
      <sz val="11"/>
      <color theme="1"/>
      <name val="Arial Nova"/>
      <family val="2"/>
      <scheme val="minor"/>
    </font>
    <font>
      <sz val="11"/>
      <color theme="1"/>
      <name val="Arial Nova"/>
      <family val="2"/>
      <scheme val="minor"/>
    </font>
    <font>
      <b/>
      <sz val="18"/>
      <color theme="1"/>
      <name val="Arial Nova"/>
      <family val="2"/>
      <scheme val="minor"/>
    </font>
    <font>
      <sz val="8"/>
      <name val="Arial Nova"/>
      <family val="2"/>
      <scheme val="minor"/>
    </font>
    <font>
      <u/>
      <sz val="11"/>
      <color theme="10"/>
      <name val="Arial Nova"/>
      <family val="2"/>
      <scheme val="minor"/>
    </font>
    <font>
      <b/>
      <sz val="11"/>
      <color theme="1"/>
      <name val="Arial Nova"/>
      <family val="2"/>
      <scheme val="minor"/>
    </font>
  </fonts>
  <fills count="2">
    <fill>
      <patternFill patternType="none"/>
    </fill>
    <fill>
      <patternFill patternType="gray125"/>
    </fill>
  </fills>
  <borders count="1">
    <border>
      <left/>
      <right/>
      <top/>
      <bottom/>
      <diagonal/>
    </border>
  </borders>
  <cellStyleXfs count="4">
    <xf numFmtId="0" fontId="0" fillId="0" borderId="0"/>
    <xf numFmtId="44" fontId="1" fillId="0" borderId="0" applyFont="0" applyFill="0" applyBorder="0" applyAlignment="0" applyProtection="0"/>
    <xf numFmtId="0" fontId="4" fillId="0" borderId="0" applyNumberFormat="0" applyFill="0" applyBorder="0" applyAlignment="0" applyProtection="0"/>
    <xf numFmtId="166" fontId="1" fillId="0" borderId="0" applyFont="0" applyFill="0" applyBorder="0" applyAlignment="0" applyProtection="0"/>
  </cellStyleXfs>
  <cellXfs count="11">
    <xf numFmtId="0" fontId="0" fillId="0" borderId="0" xfId="0"/>
    <xf numFmtId="15" fontId="0" fillId="0" borderId="0" xfId="0" applyNumberFormat="1"/>
    <xf numFmtId="164" fontId="0" fillId="0" borderId="0" xfId="0" applyNumberFormat="1"/>
    <xf numFmtId="0" fontId="4" fillId="0" borderId="0" xfId="2"/>
    <xf numFmtId="165" fontId="0" fillId="0" borderId="0" xfId="1" applyNumberFormat="1" applyFont="1" applyAlignment="1">
      <alignment horizontal="right"/>
    </xf>
    <xf numFmtId="165" fontId="0" fillId="0" borderId="0" xfId="0" applyNumberFormat="1" applyAlignment="1">
      <alignment horizontal="right"/>
    </xf>
    <xf numFmtId="0" fontId="0" fillId="0" borderId="0" xfId="0" applyNumberFormat="1" applyAlignment="1">
      <alignment horizontal="right"/>
    </xf>
    <xf numFmtId="165" fontId="0" fillId="0" borderId="0" xfId="0" applyNumberFormat="1"/>
    <xf numFmtId="0" fontId="5" fillId="0" borderId="0" xfId="0" applyFont="1"/>
    <xf numFmtId="0" fontId="0" fillId="0" borderId="0" xfId="0" applyNumberFormat="1"/>
    <xf numFmtId="0" fontId="2" fillId="0" borderId="0" xfId="0" applyFont="1" applyAlignment="1">
      <alignment horizontal="center"/>
    </xf>
  </cellXfs>
  <cellStyles count="4">
    <cellStyle name="Currency" xfId="1" builtinId="4"/>
    <cellStyle name="Euro" xfId="3" xr:uid="{4437E575-C436-4117-87D2-4B4AC50EA5E1}"/>
    <cellStyle name="Hyperlink" xfId="2" builtinId="8"/>
    <cellStyle name="Normal" xfId="0" builtinId="0"/>
  </cellStyles>
  <dxfs count="31">
    <dxf>
      <font>
        <color rgb="FF9C0006"/>
      </font>
      <fill>
        <patternFill>
          <bgColor rgb="FFFFC7CE"/>
        </patternFill>
      </fill>
    </dxf>
    <dxf>
      <font>
        <b/>
        <i val="0"/>
        <color theme="0"/>
      </font>
      <fill>
        <patternFill>
          <bgColor theme="9"/>
        </patternFill>
      </fill>
    </dxf>
    <dxf>
      <font>
        <b/>
        <i/>
        <color theme="0"/>
      </font>
      <fill>
        <patternFill>
          <bgColor rgb="FFFF0000"/>
        </patternFill>
      </fill>
    </dxf>
    <dxf>
      <font>
        <b/>
        <i/>
        <u/>
      </font>
      <fill>
        <patternFill patternType="solid"/>
      </fill>
      <border>
        <left style="thin">
          <color auto="1"/>
        </left>
        <right style="thin">
          <color auto="1"/>
        </right>
        <top style="thin">
          <color auto="1"/>
        </top>
        <bottom style="thin">
          <color auto="1"/>
        </bottom>
        <vertical/>
        <horizontal/>
      </border>
    </dxf>
    <dxf>
      <font>
        <b val="0"/>
        <i/>
        <color theme="0"/>
      </font>
      <fill>
        <patternFill>
          <bgColor theme="9"/>
        </patternFill>
      </fill>
    </dxf>
    <dxf>
      <font>
        <b/>
        <i val="0"/>
        <u val="double"/>
        <color theme="0"/>
      </font>
      <fill>
        <patternFill>
          <bgColor rgb="FF00B050"/>
        </patternFill>
      </fill>
    </dxf>
    <dxf>
      <font>
        <b val="0"/>
        <i/>
        <color theme="0"/>
      </font>
      <fill>
        <patternFill>
          <bgColor rgb="FFFF0000"/>
        </patternFill>
      </fill>
    </dxf>
    <dxf>
      <font>
        <b/>
        <i val="0"/>
        <color theme="0"/>
      </font>
      <fill>
        <patternFill>
          <bgColor theme="9"/>
        </patternFill>
      </fill>
    </dxf>
    <dxf>
      <font>
        <b/>
        <i/>
        <color theme="0"/>
      </font>
      <fill>
        <patternFill>
          <bgColor rgb="FFFF0000"/>
        </patternFill>
      </fill>
    </dxf>
    <dxf>
      <font>
        <b/>
        <i/>
        <u/>
      </font>
      <fill>
        <patternFill patternType="solid"/>
      </fill>
      <border>
        <left style="thin">
          <color auto="1"/>
        </left>
        <right style="thin">
          <color auto="1"/>
        </right>
        <top style="thin">
          <color auto="1"/>
        </top>
        <bottom style="thin">
          <color auto="1"/>
        </bottom>
        <vertical/>
        <horizontal/>
      </border>
    </dxf>
    <dxf>
      <font>
        <b val="0"/>
        <i/>
        <color theme="0"/>
      </font>
      <fill>
        <patternFill>
          <bgColor theme="9"/>
        </patternFill>
      </fill>
    </dxf>
    <dxf>
      <font>
        <b/>
        <i val="0"/>
        <u val="double"/>
        <color theme="0"/>
      </font>
      <fill>
        <patternFill>
          <bgColor rgb="FF00B050"/>
        </patternFill>
      </fill>
    </dxf>
    <dxf>
      <font>
        <color rgb="FF9C0006"/>
      </font>
      <fill>
        <patternFill>
          <bgColor rgb="FFFFC7CE"/>
        </patternFill>
      </fill>
    </dxf>
    <dxf>
      <numFmt numFmtId="0" formatCode="General"/>
    </dxf>
    <dxf>
      <numFmt numFmtId="20" formatCode="dd\-mmm\-yy"/>
    </dxf>
    <dxf>
      <numFmt numFmtId="20" formatCode="dd\-mmm\-yy"/>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165" formatCode="_-[$$-409]* #,##0.00_ ;_-[$$-409]* \-#,##0.00\ ;_-[$$-409]* &quot;-&quot;??_ ;_-@_ "/>
      <alignment horizontal="right" vertical="bottom" textRotation="0" wrapText="0" indent="0" justifyLastLine="0" shrinkToFit="0" readingOrder="0"/>
    </dxf>
    <dxf>
      <numFmt numFmtId="165" formatCode="_-[$$-409]* #,##0.00_ ;_-[$$-409]* \-#,##0.00\ ;_-[$$-409]* &quot;-&quot;??_ ;_-@_ "/>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165" formatCode="_-[$$-409]* #,##0.00_ ;_-[$$-409]* \-#,##0.00\ ;_-[$$-409]* &quot;-&quot;??_ ;_-@_ "/>
      <alignment horizontal="right" vertical="bottom" textRotation="0" wrapText="0" indent="0" justifyLastLine="0" shrinkToFit="0" readingOrder="0"/>
    </dxf>
    <dxf>
      <numFmt numFmtId="165" formatCode="_-[$$-409]* #,##0.00_ ;_-[$$-409]* \-#,##0.00\ ;_-[$$-409]* &quot;-&quot;??_ ;_-@_ "/>
      <alignment horizontal="right" vertical="bottom" textRotation="0" wrapText="0" indent="0" justifyLastLine="0" shrinkToFit="0" readingOrder="0"/>
    </dxf>
    <dxf>
      <font>
        <b val="0"/>
        <i val="0"/>
        <strike val="0"/>
        <condense val="0"/>
        <extend val="0"/>
        <outline val="0"/>
        <shadow val="0"/>
        <u val="none"/>
        <vertAlign val="baseline"/>
        <sz val="11"/>
        <color theme="1"/>
        <name val="Arial Nova"/>
        <family val="2"/>
        <scheme val="minor"/>
      </font>
      <numFmt numFmtId="165" formatCode="_-[$$-409]* #,##0.00_ ;_-[$$-409]* \-#,##0.00\ ;_-[$$-409]* &quot;-&quot;??_ ;_-@_ "/>
      <alignment horizontal="right" vertical="bottom" textRotation="0" wrapText="0" indent="0" justifyLastLine="0" shrinkToFit="0" readingOrder="0"/>
    </dxf>
    <dxf>
      <font>
        <b val="0"/>
        <i val="0"/>
        <strike val="0"/>
        <condense val="0"/>
        <extend val="0"/>
        <outline val="0"/>
        <shadow val="0"/>
        <u val="none"/>
        <vertAlign val="baseline"/>
        <sz val="11"/>
        <color theme="1"/>
        <name val="Arial Nova"/>
        <family val="2"/>
        <scheme val="minor"/>
      </font>
      <numFmt numFmtId="165" formatCode="_-[$$-409]* #,##0.00_ ;_-[$$-409]* \-#,##0.00\ ;_-[$$-409]* &quot;-&quot;??_ ;_-@_ "/>
      <alignment horizontal="right" vertical="bottom" textRotation="0" wrapText="0" indent="0" justifyLastLine="0" shrinkToFit="0" readingOrder="0"/>
    </dxf>
    <dxf>
      <font>
        <b val="0"/>
        <i val="0"/>
        <strike val="0"/>
        <condense val="0"/>
        <extend val="0"/>
        <outline val="0"/>
        <shadow val="0"/>
        <u val="none"/>
        <vertAlign val="baseline"/>
        <sz val="11"/>
        <color theme="1"/>
        <name val="Arial Nova"/>
        <family val="2"/>
        <scheme val="minor"/>
      </font>
      <numFmt numFmtId="165" formatCode="_-[$$-409]* #,##0.00_ ;_-[$$-409]* \-#,##0.00\ ;_-[$$-409]* &quot;-&quot;??_ ;_-@_ "/>
      <alignment horizontal="right" vertical="bottom" textRotation="0" wrapText="0" indent="0" justifyLastLine="0" shrinkToFit="0" readingOrder="0"/>
    </dxf>
    <dxf>
      <numFmt numFmtId="165" formatCode="_-[$$-409]* #,##0.00_ ;_-[$$-409]* \-#,##0.00\ ;_-[$$-409]* &quot;-&quot;??_ ;_-@_ "/>
      <alignment horizontal="right" vertical="bottom" textRotation="0" wrapText="0" indent="0" justifyLastLine="0" shrinkToFit="0" readingOrder="0"/>
    </dxf>
    <dxf>
      <numFmt numFmtId="165" formatCode="_-[$$-409]* #,##0.00_ ;_-[$$-409]* \-#,##0.00\ ;_-[$$-409]* &quot;-&quot;??_ ;_-@_ "/>
      <alignment horizontal="right" vertical="bottom" textRotation="0" wrapText="0" indent="0" justifyLastLine="0" shrinkToFit="0" readingOrder="0"/>
    </dxf>
    <dxf>
      <numFmt numFmtId="0" formatCode="General"/>
    </dxf>
    <dxf>
      <numFmt numFmtId="164" formatCode="[$-809]dd\ mmmm\ yyyy;@"/>
    </dxf>
    <dxf>
      <numFmt numFmtId="164" formatCode="[$-809]dd\ mmmm\ 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17/06/relationships/richStyles" Target="richData/richStyles.xml"/><Relationship Id="rId18" Type="http://schemas.microsoft.com/office/2017/10/relationships/person" Target="persons/person.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sharedStrings" Target="sharedStrings.xml"/><Relationship Id="rId12" Type="http://schemas.microsoft.com/office/2017/06/relationships/rdArray" Target="richData/rdarray.xml"/><Relationship Id="rId17" Type="http://schemas.openxmlformats.org/officeDocument/2006/relationships/powerPivotData" Target="model/item.data"/><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5" Type="http://schemas.openxmlformats.org/officeDocument/2006/relationships/connections" Target="connections.xml"/><Relationship Id="rId15" Type="http://schemas.microsoft.com/office/2017/06/relationships/rdSupportingPropertyBag" Target="richData/rdsupportingpropertybag.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microsoft.com/office/2017/06/relationships/rdRichValue" Target="richData/rdrichvalue.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theme" Target="theme/theme1.xml"/><Relationship Id="rId9" Type="http://schemas.microsoft.com/office/2020/07/relationships/rdRichValueWebImage" Target="richData/rdRichValueWebImage.xml"/><Relationship Id="rId14" Type="http://schemas.microsoft.com/office/2017/06/relationships/rdSupportingPropertyBagStructure" Target="richData/rdsupportingpropertybagstructure.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sheetMetadata" Target="metadata.xml"/><Relationship Id="rId3" Type="http://schemas.openxmlformats.org/officeDocument/2006/relationships/worksheet" Target="worksheets/sheet3.xml"/></Relationships>
</file>

<file path=xl/persons/person.xml><?xml version="1.0" encoding="utf-8"?>
<personList xmlns="http://schemas.microsoft.com/office/spreadsheetml/2018/threadedcomments" xmlns:x="http://schemas.openxmlformats.org/spreadsheetml/2006/main"/>
</file>

<file path=xl/richData/_rels/rdRichValueWebImage.xml.rels><?xml version="1.0" encoding="UTF-8" standalone="yes"?>
<Relationships xmlns="http://schemas.openxmlformats.org/package/2006/relationships"><Relationship Id="rId13" Type="http://schemas.openxmlformats.org/officeDocument/2006/relationships/hyperlink" Target="https://www.bing.com/th?id=OSK.5e502a5bd6db4c8348b495b6c42d2a3b&amp;qlt=95" TargetMode="External"/><Relationship Id="rId18" Type="http://schemas.openxmlformats.org/officeDocument/2006/relationships/hyperlink" Target="https://www.bing.com/images/search?form=xlimg&amp;q=Chantilly,%20Virginia" TargetMode="External"/><Relationship Id="rId26" Type="http://schemas.openxmlformats.org/officeDocument/2006/relationships/hyperlink" Target="https://www.bing.com/images/search?form=xlimg&amp;q=Newark,%20New%20Jersey" TargetMode="External"/><Relationship Id="rId39" Type="http://schemas.openxmlformats.org/officeDocument/2006/relationships/hyperlink" Target="https://www.bing.com/th?id=OSK.ce6e225ddfb692b68356a214d38f5b1c&amp;qlt=95" TargetMode="External"/><Relationship Id="rId21" Type="http://schemas.openxmlformats.org/officeDocument/2006/relationships/hyperlink" Target="https://www.bing.com/th?id=OSK.0f470167029fac2deef28f09fd333c5c&amp;qlt=95" TargetMode="External"/><Relationship Id="rId34" Type="http://schemas.openxmlformats.org/officeDocument/2006/relationships/hyperlink" Target="https://www.bing.com/images/search?form=xlimg&amp;q=Alexandria,%20Virginia" TargetMode="External"/><Relationship Id="rId42" Type="http://schemas.openxmlformats.org/officeDocument/2006/relationships/hyperlink" Target="https://www.bing.com/images/search?form=xlimg&amp;q=Nashville,%20Tennessee" TargetMode="External"/><Relationship Id="rId47" Type="http://schemas.openxmlformats.org/officeDocument/2006/relationships/hyperlink" Target="https://www.bing.com/th?id=OSK.dfd23a4048692e9e9dfffedc93d6aec2&amp;qlt=95" TargetMode="External"/><Relationship Id="rId50" Type="http://schemas.openxmlformats.org/officeDocument/2006/relationships/hyperlink" Target="https://www.bing.com/images/search?form=xlimg&amp;q=Stamford,%20Connecticut" TargetMode="External"/><Relationship Id="rId7" Type="http://schemas.openxmlformats.org/officeDocument/2006/relationships/hyperlink" Target="https://www.bing.com/th?id=OSK.24661f1933e50301e85d1e9292d62d95&amp;qlt=95" TargetMode="External"/><Relationship Id="rId2" Type="http://schemas.openxmlformats.org/officeDocument/2006/relationships/hyperlink" Target="https://www.bing.com/images/search?form=xlimg&amp;q=White%20Plains,%20New%20York" TargetMode="External"/><Relationship Id="rId16" Type="http://schemas.openxmlformats.org/officeDocument/2006/relationships/hyperlink" Target="https://www.bing.com/images/search?form=xlimg&amp;q=Fairfield%20County,%20Connecticut" TargetMode="External"/><Relationship Id="rId29" Type="http://schemas.openxmlformats.org/officeDocument/2006/relationships/hyperlink" Target="https://www.bing.com/th?id=OSK.75566aa5e1e18385639b494fd140ff6e&amp;qlt=95" TargetMode="External"/><Relationship Id="rId11" Type="http://schemas.openxmlformats.org/officeDocument/2006/relationships/hyperlink" Target="https://www.bing.com/th?id=OSK.e2fb990b67b577c3ef6ca4076a5a8064&amp;qlt=95" TargetMode="External"/><Relationship Id="rId24" Type="http://schemas.openxmlformats.org/officeDocument/2006/relationships/hyperlink" Target="https://www.bing.com/images/search?form=xlimg&amp;q=Rochester,%20New%20York" TargetMode="External"/><Relationship Id="rId32" Type="http://schemas.openxmlformats.org/officeDocument/2006/relationships/hyperlink" Target="https://www.bing.com/images/search?form=xlimg&amp;q=Troy,%20New%20York" TargetMode="External"/><Relationship Id="rId37" Type="http://schemas.openxmlformats.org/officeDocument/2006/relationships/hyperlink" Target="https://www.bing.com/th?id=OSK.fa4514eac6dc7cbde45b9401def6292c&amp;qlt=95" TargetMode="External"/><Relationship Id="rId40" Type="http://schemas.openxmlformats.org/officeDocument/2006/relationships/hyperlink" Target="https://www.bing.com/images/search?form=xlimg&amp;q=Columbia,%20South%20Carolina" TargetMode="External"/><Relationship Id="rId45" Type="http://schemas.openxmlformats.org/officeDocument/2006/relationships/hyperlink" Target="https://www.bing.com/th?id=OSK.c4a51fb1470b981ddd7daab31814af10&amp;qlt=95" TargetMode="External"/><Relationship Id="rId53" Type="http://schemas.openxmlformats.org/officeDocument/2006/relationships/hyperlink" Target="https://www.bing.com/th?id=OSK.d41d9b75c486132223e509843baad881&amp;qlt=95" TargetMode="External"/><Relationship Id="rId5" Type="http://schemas.openxmlformats.org/officeDocument/2006/relationships/hyperlink" Target="https://www.bing.com/th?id=OSK.YtMhN6HhvG5MEe3503eBpt0x5dUEQecJSHfTztAgl0U&amp;qlt=95" TargetMode="External"/><Relationship Id="rId10" Type="http://schemas.openxmlformats.org/officeDocument/2006/relationships/hyperlink" Target="https://www.bing.com/images/search?form=xlimg&amp;q=East%20Syracuse,%20New%20York" TargetMode="External"/><Relationship Id="rId19" Type="http://schemas.openxmlformats.org/officeDocument/2006/relationships/hyperlink" Target="https://www.bing.com/th?id=OSK.09cf279ad5c4bf29528ac1780d0c14bc&amp;qlt=95" TargetMode="External"/><Relationship Id="rId31" Type="http://schemas.openxmlformats.org/officeDocument/2006/relationships/hyperlink" Target="https://www.bing.com/th?id=OSK.6624df4a64e09a664024f2435ef64375&amp;qlt=95" TargetMode="External"/><Relationship Id="rId44" Type="http://schemas.openxmlformats.org/officeDocument/2006/relationships/hyperlink" Target="https://www.bing.com/images/search?form=xlimg&amp;q=Philadelphia" TargetMode="External"/><Relationship Id="rId52" Type="http://schemas.openxmlformats.org/officeDocument/2006/relationships/hyperlink" Target="https://www.bing.com/images/search?form=xlimg&amp;q=Dallas" TargetMode="External"/><Relationship Id="rId4" Type="http://schemas.openxmlformats.org/officeDocument/2006/relationships/hyperlink" Target="https://www.bing.com/images/search?form=xlimg&amp;q=United%20States" TargetMode="External"/><Relationship Id="rId9" Type="http://schemas.openxmlformats.org/officeDocument/2006/relationships/hyperlink" Target="https://www.bing.com/th?id=OSK.d9eed4efafea45dfb49f0faf81bbf87c&amp;qlt=95" TargetMode="External"/><Relationship Id="rId14" Type="http://schemas.openxmlformats.org/officeDocument/2006/relationships/hyperlink" Target="https://www.bing.com/images/search?form=xlimg&amp;q=Norwalk,%20Connecticut" TargetMode="External"/><Relationship Id="rId22" Type="http://schemas.openxmlformats.org/officeDocument/2006/relationships/hyperlink" Target="https://www.bing.com/images/search?form=xlimg&amp;q=Enfield,%20Connecticut" TargetMode="External"/><Relationship Id="rId27" Type="http://schemas.openxmlformats.org/officeDocument/2006/relationships/hyperlink" Target="https://www.bing.com/th?id=OSK.Y2SvNiYAe_mesrUwuIuX4xJQm8aV5ETohc64BFRtwCE&amp;qlt=95" TargetMode="External"/><Relationship Id="rId30" Type="http://schemas.openxmlformats.org/officeDocument/2006/relationships/hyperlink" Target="https://www.bing.com/images/search?form=xlimg&amp;q=Boston" TargetMode="External"/><Relationship Id="rId35" Type="http://schemas.openxmlformats.org/officeDocument/2006/relationships/hyperlink" Target="https://www.bing.com/th?id=OSK.bf4284a2942e0a5276d7091b1089b3be&amp;qlt=95" TargetMode="External"/><Relationship Id="rId43" Type="http://schemas.openxmlformats.org/officeDocument/2006/relationships/hyperlink" Target="https://www.bing.com/th?id=OSK.ffdd3b3273d02c76897b944b2bd7f440&amp;qlt=95" TargetMode="External"/><Relationship Id="rId48" Type="http://schemas.openxmlformats.org/officeDocument/2006/relationships/hyperlink" Target="https://www.bing.com/images/search?form=xlimg&amp;q=Plano,%20Texas" TargetMode="External"/><Relationship Id="rId8" Type="http://schemas.openxmlformats.org/officeDocument/2006/relationships/hyperlink" Target="https://www.bing.com/images/search?form=xlimg&amp;q=Stony%20Brook,%20New%20York" TargetMode="External"/><Relationship Id="rId51" Type="http://schemas.openxmlformats.org/officeDocument/2006/relationships/hyperlink" Target="https://www.bing.com/th?id=OSK.XNRskdpV1Zf1rdimnjDDcCRMjxnmT8dW2Zgq-RM2uaE&amp;qlt=95" TargetMode="External"/><Relationship Id="rId3" Type="http://schemas.openxmlformats.org/officeDocument/2006/relationships/hyperlink" Target="https://www.bing.com/th?id=OSK.08d481ce2e6378c8b3492a5438438208&amp;qlt=95" TargetMode="External"/><Relationship Id="rId12" Type="http://schemas.openxmlformats.org/officeDocument/2006/relationships/hyperlink" Target="https://www.bing.com/images/search?form=xlimg&amp;q=Atlanta" TargetMode="External"/><Relationship Id="rId17" Type="http://schemas.openxmlformats.org/officeDocument/2006/relationships/hyperlink" Target="https://www.bing.com/th?id=OSK.NosSLN-CFDO7TBpaY2zWXByXyu2DU5VNh-xhe7vSLjU&amp;qlt=95" TargetMode="External"/><Relationship Id="rId25" Type="http://schemas.openxmlformats.org/officeDocument/2006/relationships/hyperlink" Target="https://www.bing.com/th?id=OSK.a523bfa52f4bf0b0d3eecbed89d3767b&amp;qlt=95" TargetMode="External"/><Relationship Id="rId33" Type="http://schemas.openxmlformats.org/officeDocument/2006/relationships/hyperlink" Target="https://www.bing.com/th?id=OSK.10ccb0724699ece3b77a1acad8dede2a&amp;qlt=95" TargetMode="External"/><Relationship Id="rId38" Type="http://schemas.openxmlformats.org/officeDocument/2006/relationships/hyperlink" Target="https://www.bing.com/images/search?form=xlimg&amp;q=Houston" TargetMode="External"/><Relationship Id="rId46" Type="http://schemas.openxmlformats.org/officeDocument/2006/relationships/hyperlink" Target="https://www.bing.com/images/search?form=xlimg&amp;q=Charleston,%20South%20Carolina" TargetMode="External"/><Relationship Id="rId20" Type="http://schemas.openxmlformats.org/officeDocument/2006/relationships/hyperlink" Target="https://www.bing.com/images/search?form=xlimg&amp;q=Pittsburgh" TargetMode="External"/><Relationship Id="rId41" Type="http://schemas.openxmlformats.org/officeDocument/2006/relationships/hyperlink" Target="https://www.bing.com/th?id=OSK.ENr4k81bw7Edgq624XfteWatyVC8Ud5TqgloAmP271A&amp;qlt=95" TargetMode="External"/><Relationship Id="rId54" Type="http://schemas.openxmlformats.org/officeDocument/2006/relationships/hyperlink" Target="https://www.bing.com/images/search?form=xlimg&amp;q=Darien,%20Connecticut" TargetMode="External"/><Relationship Id="rId1" Type="http://schemas.openxmlformats.org/officeDocument/2006/relationships/hyperlink" Target="https://www.bing.com/th?id=OSK.757285507e40e139b3c23e9d04d8a321&amp;qlt=95" TargetMode="External"/><Relationship Id="rId6" Type="http://schemas.openxmlformats.org/officeDocument/2006/relationships/hyperlink" Target="https://www.bing.com/images/search?form=xlimg&amp;q=New%20York%20City" TargetMode="External"/><Relationship Id="rId15" Type="http://schemas.openxmlformats.org/officeDocument/2006/relationships/hyperlink" Target="https://www.bing.com/th?id=OSK.a5dcc64202a8e34ed0fc17c3f25f078b&amp;qlt=95" TargetMode="External"/><Relationship Id="rId23" Type="http://schemas.openxmlformats.org/officeDocument/2006/relationships/hyperlink" Target="https://www.bing.com/th?id=OSK.df901d35056edd3f22f0a92e07dcf5fd&amp;qlt=95" TargetMode="External"/><Relationship Id="rId28" Type="http://schemas.openxmlformats.org/officeDocument/2006/relationships/hyperlink" Target="https://www.bing.com/images/search?form=xlimg&amp;q=Lodi,%20New%20Jersey" TargetMode="External"/><Relationship Id="rId36" Type="http://schemas.openxmlformats.org/officeDocument/2006/relationships/hyperlink" Target="https://www.bing.com/images/search?form=xlimg&amp;q=The%20Bronx" TargetMode="External"/><Relationship Id="rId49" Type="http://schemas.openxmlformats.org/officeDocument/2006/relationships/hyperlink" Target="https://www.bing.com/th?id=OSK.cf9ee9f8181d68819568141cbcf4e2e7&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Srd>
</file>

<file path=xl/richData/rdarray.xml><?xml version="1.0" encoding="utf-8"?>
<arrayData xmlns="http://schemas.microsoft.com/office/spreadsheetml/2017/richdata2" count="25">
  <a r="1">
    <v t="r">7</v>
  </a>
  <a r="1">
    <v t="s">Eastern Time Zone</v>
  </a>
  <a r="4">
    <v t="r">34</v>
    <v t="r">35</v>
    <v t="r">36</v>
    <v t="r">37</v>
  </a>
  <a r="1">
    <v t="s">English language</v>
  </a>
  <a r="55">
    <v t="r">56</v>
    <v t="r">57</v>
    <v t="r">58</v>
    <v t="r">59</v>
    <v t="r">60</v>
    <v t="r">61</v>
    <v t="r">62</v>
    <v t="r">63</v>
    <v t="r">64</v>
    <v t="r">65</v>
    <v t="r">66</v>
    <v t="r">67</v>
    <v t="r">68</v>
    <v t="r">69</v>
    <v t="r">70</v>
    <v t="r">71</v>
    <v t="r">72</v>
    <v t="r">73</v>
    <v t="r">74</v>
    <v t="r">75</v>
    <v t="r">76</v>
    <v t="r">77</v>
    <v t="r">78</v>
    <v t="r">79</v>
    <v t="r">80</v>
    <v t="r">81</v>
    <v t="r">82</v>
    <v t="r">83</v>
    <v t="r">84</v>
    <v t="r">85</v>
    <v t="r">86</v>
    <v t="r">1</v>
    <v t="r">87</v>
    <v t="r">88</v>
    <v t="r">89</v>
    <v t="r">90</v>
    <v t="r">91</v>
    <v t="r">92</v>
    <v t="r">93</v>
    <v t="r">94</v>
    <v t="r">95</v>
    <v t="r">96</v>
    <v t="r">97</v>
    <v t="r">98</v>
    <v t="r">99</v>
    <v t="r">100</v>
    <v t="r">101</v>
    <v t="r">102</v>
    <v t="r">103</v>
    <v t="r">104</v>
    <v t="r">105</v>
    <v t="r">106</v>
    <v t="r">107</v>
    <v t="r">108</v>
    <v t="r">109</v>
  </a>
  <a r="6">
    <v t="s">Samoa Time Zone</v>
    <v t="s">Atlantic Time Zone</v>
    <v t="s">Central Time Zone</v>
    <v t="s">Alaska Time Zone</v>
    <v t="s">Mountain Time Zone</v>
    <v t="s">Chamorro Time Zone</v>
  </a>
  <a r="1">
    <v t="r">120</v>
  </a>
  <a r="1">
    <v t="r">151</v>
  </a>
  <a r="1">
    <v t="r">162</v>
  </a>
  <a r="1">
    <v t="r">189</v>
  </a>
  <a r="1">
    <v t="r">210</v>
  </a>
  <a r="1">
    <v t="r">221</v>
  </a>
  <a r="1">
    <v t="r">232</v>
  </a>
  <a r="1">
    <v t="r">244</v>
  </a>
  <a r="1">
    <v t="r">255</v>
  </a>
  <a r="1">
    <v t="r">280</v>
  </a>
  <a r="1">
    <v t="s">Central Time Zone</v>
  </a>
  <a r="1">
    <v t="r">292</v>
  </a>
  <a r="1">
    <v t="r">303</v>
  </a>
  <a r="1">
    <v t="r">314</v>
  </a>
  <a r="1">
    <v t="r">325</v>
  </a>
  <a r="1">
    <v t="r">336</v>
  </a>
  <a r="1">
    <v t="r">346</v>
  </a>
  <a r="1">
    <v t="r">356</v>
  </a>
  <a r="1">
    <v t="s">UTC−05:00</v>
  </a>
</arrayData>
</file>

<file path=xl/richData/rdrichvalue.xml><?xml version="1.0" encoding="utf-8"?>
<rvData xmlns="http://schemas.microsoft.com/office/spreadsheetml/2017/richdata" count="379">
  <rv s="0">
    <v>536870912</v>
    <v>White Plains, New York</v>
    <v>e2936e90-df01-4b3d-4543-73673a2475c9</v>
    <v>en-CA</v>
    <v>Map</v>
  </rv>
  <rv s="0">
    <v>536870912</v>
    <v>New York</v>
    <v>caeb7b9a-f5d7-4686-8fb5-cf7628296b13</v>
    <v>en-CA</v>
    <v>Map</v>
  </rv>
  <rv s="0">
    <v>536870912</v>
    <v>Westchester County</v>
    <v>580cb55f-653d-4b4c-79a6-492481343300</v>
    <v>en-CA</v>
    <v>Map</v>
  </rv>
  <rv s="1">
    <fb>25.601499</fb>
    <v>8</v>
  </rv>
  <rv s="0">
    <v>536870912</v>
    <v>United States of America</v>
    <v>5232ed96-85b1-2edb-12c6-63e6c597a1de</v>
    <v>en-CA</v>
    <v>Map</v>
  </rv>
  <rv s="2">
    <v>0</v>
    <v>6</v>
    <v>0</v>
    <v>7</v>
    <v>0</v>
    <v>Image of White Plains, New York</v>
  </rv>
  <rv s="1">
    <fb>41.04</fb>
    <v>9</v>
  </rv>
  <rv s="0">
    <v>805306368</v>
    <v>Thomas Roach (Mayor)</v>
    <v>34c090e1-d5ff-a9c3-cfe6-e8aec3c7a08f</v>
    <v>en-CA</v>
    <v>Generic</v>
  </rv>
  <rv s="3">
    <v>0</v>
  </rv>
  <rv s="4">
    <v>https://www.bing.com/search?q=white+plains+new+york&amp;form=skydnc</v>
    <v>Learn more on Bing</v>
  </rv>
  <rv s="1">
    <fb>-73.778611111111005</fb>
    <v>9</v>
  </rv>
  <rv s="1">
    <fb>59559</fb>
    <v>8</v>
  </rv>
  <rv s="3">
    <v>1</v>
  </rv>
  <rv s="5">
    <v>#VALUE!</v>
    <v>en-CA</v>
    <v>e2936e90-df01-4b3d-4543-73673a2475c9</v>
    <v>536870912</v>
    <v>1</v>
    <v>1</v>
    <v>2</v>
    <v>White Plains, New York</v>
    <v>4</v>
    <v>5</v>
    <v>Map</v>
    <v>6</v>
    <v>7</v>
    <v>1</v>
    <v>2</v>
    <v>3</v>
    <v>4</v>
    <v>White Plains is a city in Westchester County, New York, United States. It is the 29th-largest municipality in the state of New York, an inner suburb of New York City, and the county seat and commercial hub of Westchester County, a densely ...</v>
    <v>5</v>
    <v>6</v>
    <v>8</v>
    <v>9</v>
    <v>10</v>
    <v>White Plains, New York</v>
    <v>11</v>
    <v>12</v>
    <v>White Plains, New York</v>
    <v>mdp/vdpid/5487338347649040385</v>
  </rv>
  <rv s="1">
    <fb>0.44369067999501505</fb>
    <v>29</v>
  </rv>
  <rv s="1">
    <fb>9826675</fb>
    <v>8</v>
  </rv>
  <rv s="1">
    <fb>1359000</fb>
    <v>8</v>
  </rv>
  <rv s="1">
    <fb>11.6</fb>
    <v>30</v>
  </rv>
  <rv s="1">
    <fb>1</fb>
    <v>31</v>
  </rv>
  <rv s="0">
    <v>536870912</v>
    <v>Washington, D.C.</v>
    <v>216726d1-8987-06d3-5eff-823da05c3d3c</v>
    <v>en-CA</v>
    <v>Map</v>
  </rv>
  <rv s="1">
    <fb>5006302.0769999996</fb>
    <v>8</v>
  </rv>
  <rv s="1">
    <fb>117.244195476228</fb>
    <v>32</v>
  </rv>
  <rv s="1">
    <fb>7.4999999999999997E-2</fb>
    <v>29</v>
  </rv>
  <rv s="1">
    <fb>12993.961824772699</fb>
    <v>8</v>
  </rv>
  <rv s="1">
    <fb>1.7295</fb>
    <v>30</v>
  </rv>
  <rv s="1">
    <fb>0.339297856663409</fb>
    <v>29</v>
  </rv>
  <rv s="1">
    <fb>82.427828245269197</fb>
    <v>33</v>
  </rv>
  <rv s="1">
    <fb>0.71</fb>
    <v>34</v>
  </rv>
  <rv s="1">
    <fb>21427700000000</fb>
    <v>35</v>
  </rv>
  <rv s="1">
    <fb>1.0182144</fb>
    <v>29</v>
  </rv>
  <rv s="1">
    <fb>0.88167390000000001</fb>
    <v>29</v>
  </rv>
  <rv s="2">
    <v>1</v>
    <v>6</v>
    <v>12</v>
    <v>7</v>
    <v>0</v>
    <v>Image of United States</v>
  </rv>
  <rv s="1">
    <fb>5.6</fb>
    <v>33</v>
  </rv>
  <rv s="0">
    <v>536870912</v>
    <v>New York City</v>
    <v>60d5dc2b-c915-460b-b722-c9e3485499ca</v>
    <v>en-CA</v>
    <v>Map</v>
  </rv>
  <rv s="0">
    <v>805306368</v>
    <v>Donald Trump (President)</v>
    <v>1a466af2-ed23-25bd-794d-1ca925e4681b</v>
    <v>en-CA</v>
    <v>Generic</v>
  </rv>
  <rv s="0">
    <v>805306368</v>
    <v>JD Vance (Vice president)</v>
    <v>cf52f4b6-e15c-553b-c991-5fd07410b914</v>
    <v>en-CA</v>
    <v>Generic</v>
  </rv>
  <rv s="0">
    <v>805306368</v>
    <v>Mike Johnson (Speaker)</v>
    <v>0cdd8beb-6fa0-b09e-350a-8a9eef364ec7</v>
    <v>en-CA</v>
    <v>Generic</v>
  </rv>
  <rv s="0">
    <v>805306368</v>
    <v>John Roberts (Chief justice)</v>
    <v>af7f7f4b-fd5b-867d-e108-4b6ecf118076</v>
    <v>en-CA</v>
    <v>Generic</v>
  </rv>
  <rv s="3">
    <v>2</v>
  </rv>
  <rv s="4">
    <v>https://www.bing.com/search?q=united+states&amp;form=skydnc</v>
    <v>Learn more on Bing</v>
  </rv>
  <rv s="1">
    <fb>78.539024390243895</fb>
    <v>33</v>
  </rv>
  <rv s="1">
    <fb>30436313050000</fb>
    <v>35</v>
  </rv>
  <rv s="1">
    <fb>19</fb>
    <v>33</v>
  </rv>
  <rv s="1">
    <fb>7.25</fb>
    <v>34</v>
  </rv>
  <rv s="3">
    <v>3</v>
  </rv>
  <rv s="1">
    <fb>0.1108387988</fb>
    <v>29</v>
  </rv>
  <rv s="1">
    <fb>2.6120000000000001</fb>
    <v>30</v>
  </rv>
  <rv s="1">
    <fb>333287557</fb>
    <v>8</v>
  </rv>
  <rv s="1">
    <fb>0.22600000000000001</fb>
    <v>29</v>
  </rv>
  <rv s="1">
    <fb>0.30499999999999999</fb>
    <v>29</v>
  </rv>
  <rv s="1">
    <fb>0.46799999999999997</fb>
    <v>29</v>
  </rv>
  <rv s="1">
    <fb>1.7000000000000001E-2</fb>
    <v>29</v>
  </rv>
  <rv s="1">
    <fb>5.0999999999999997E-2</fb>
    <v>29</v>
  </rv>
  <rv s="1">
    <fb>0.10300000000000001</fb>
    <v>29</v>
  </rv>
  <rv s="1">
    <fb>0.153</fb>
    <v>29</v>
  </rv>
  <rv s="1">
    <fb>0.62048999786377002</fb>
    <v>29</v>
  </rv>
  <rv s="0">
    <v>536870912</v>
    <v>Alabama</v>
    <v>376f8b06-52f6-4e72-a31d-311a3563e645</v>
    <v>en-CA</v>
    <v>Map</v>
  </rv>
  <rv s="0">
    <v>536870912</v>
    <v>Alaska</v>
    <v>31c4c7a1-54e7-4306-ac9b-f1b02e85bda5</v>
    <v>en-CA</v>
    <v>Map</v>
  </rv>
  <rv s="0">
    <v>536870912</v>
    <v>Arizona</v>
    <v>bf973f46-5962-4997-a7ba-a05f1aa2a9f9</v>
    <v>en-CA</v>
    <v>Map</v>
  </rv>
  <rv s="0">
    <v>536870912</v>
    <v>Arkansas</v>
    <v>b939db72-08f2-4ea6-a16a-a53bf32e6612</v>
    <v>en-CA</v>
    <v>Map</v>
  </rv>
  <rv s="0">
    <v>536870912</v>
    <v>California</v>
    <v>3009d91d-d582-4c34-85ba-772ba09e5be1</v>
    <v>en-CA</v>
    <v>Map</v>
  </rv>
  <rv s="0">
    <v>536870912</v>
    <v>Colorado</v>
    <v>a070c5c2-b22d-41d8-b869-f20e583c4f80</v>
    <v>en-CA</v>
    <v>Map</v>
  </rv>
  <rv s="0">
    <v>536870912</v>
    <v>Connecticut</v>
    <v>b3ca6523-435e-4a3b-8f78-1ad900a52cf8</v>
    <v>en-CA</v>
    <v>Map</v>
  </rv>
  <rv s="0">
    <v>536870912</v>
    <v>Delaware</v>
    <v>8ad617cc-3d7a-4b3c-a787-098de959ccc4</v>
    <v>en-CA</v>
    <v>Map</v>
  </rv>
  <rv s="0">
    <v>536870912</v>
    <v>Florida</v>
    <v>5fece3f4-e8e8-4159-843e-f725a930ad50</v>
    <v>en-CA</v>
    <v>Map</v>
  </rv>
  <rv s="0">
    <v>536870912</v>
    <v>Georgia</v>
    <v>84604bc7-2c47-4f8d-8ea5-b6ac8c018a20</v>
    <v>en-CA</v>
    <v>Map</v>
  </rv>
  <rv s="0">
    <v>536870912</v>
    <v>Hawaii</v>
    <v>b6f01eaf-aecf-44f6-b64d-1f6e982365c3</v>
    <v>en-CA</v>
    <v>Map</v>
  </rv>
  <rv s="0">
    <v>536870912</v>
    <v>Idaho</v>
    <v>ecd30387-20fa-4523-9045-e2860154b5e9</v>
    <v>en-CA</v>
    <v>Map</v>
  </rv>
  <rv s="0">
    <v>536870912</v>
    <v>Illinois</v>
    <v>4131acb8-628a-4241-8920-ca79eab9dade</v>
    <v>en-CA</v>
    <v>Map</v>
  </rv>
  <rv s="0">
    <v>536870912</v>
    <v>Indiana</v>
    <v>109f7e5a-efbb-4953-b4b8-cb812ce1ff5d</v>
    <v>en-CA</v>
    <v>Map</v>
  </rv>
  <rv s="0">
    <v>536870912</v>
    <v>Iowa</v>
    <v>77850824-b07a-487a-af58-37f9949afc27</v>
    <v>en-CA</v>
    <v>Map</v>
  </rv>
  <rv s="0">
    <v>536870912</v>
    <v>Kansas</v>
    <v>6e527b71-bd3e-4bc1-b1c0-59d288b4fd5e</v>
    <v>en-CA</v>
    <v>Map</v>
  </rv>
  <rv s="0">
    <v>536870912</v>
    <v>Kentucky</v>
    <v>108dfd18-4626-481a-8dfa-18f64e6eac84</v>
    <v>en-CA</v>
    <v>Map</v>
  </rv>
  <rv s="0">
    <v>536870912</v>
    <v>Louisiana</v>
    <v>0ca1e87f-e2f6-43fb-8deb-d22bd09a9cae</v>
    <v>en-CA</v>
    <v>Map</v>
  </rv>
  <rv s="0">
    <v>536870912</v>
    <v>Maine</v>
    <v>d62dd683-9cf9-4db9-a497-d810d529592b</v>
    <v>en-CA</v>
    <v>Map</v>
  </rv>
  <rv s="0">
    <v>536870912</v>
    <v>Maryland</v>
    <v>4c472f4d-06a8-4d90-8bb8-da4d168c73fe</v>
    <v>en-CA</v>
    <v>Map</v>
  </rv>
  <rv s="0">
    <v>536870912</v>
    <v>Massachusetts</v>
    <v>845219d5-3650-4199-b926-964ca27c863c</v>
    <v>en-CA</v>
    <v>Map</v>
  </rv>
  <rv s="0">
    <v>536870912</v>
    <v>Michigan</v>
    <v>162411c2-b757-495d-aa81-93942fae2f7e</v>
    <v>en-CA</v>
    <v>Map</v>
  </rv>
  <rv s="0">
    <v>536870912</v>
    <v>Minnesota</v>
    <v>77f97f6f-7e93-46e5-b486-6198effe8dea</v>
    <v>en-CA</v>
    <v>Map</v>
  </rv>
  <rv s="0">
    <v>536870912</v>
    <v>Mississippi</v>
    <v>6af619ca-217d-49c0-9a86-153fc7fbcd78</v>
    <v>en-CA</v>
    <v>Map</v>
  </rv>
  <rv s="0">
    <v>536870912</v>
    <v>Missouri</v>
    <v>6185f8cb-44e1-4da6-9bf0-b75286aeb591</v>
    <v>en-CA</v>
    <v>Map</v>
  </rv>
  <rv s="0">
    <v>536870912</v>
    <v>Montana</v>
    <v>447d6cd5-53f6-4c8f-bf6c-9ff228415c3b</v>
    <v>en-CA</v>
    <v>Map</v>
  </rv>
  <rv s="0">
    <v>536870912</v>
    <v>Nebraska</v>
    <v>3e64ff5d-6b40-4dbe-91b1-0e554e892496</v>
    <v>en-CA</v>
    <v>Map</v>
  </rv>
  <rv s="0">
    <v>536870912</v>
    <v>Nevada</v>
    <v>c2157d7e-617e-4517-80f8-1b08113afc14</v>
    <v>en-CA</v>
    <v>Map</v>
  </rv>
  <rv s="0">
    <v>536870912</v>
    <v>New Hampshire</v>
    <v>9ca71997-cc97-46eb-8911-fac32f80b0b1</v>
    <v>en-CA</v>
    <v>Map</v>
  </rv>
  <rv s="0">
    <v>536870912</v>
    <v>New Jersey</v>
    <v>05277898-b62b-4878-8632-09d29756a2ff</v>
    <v>en-CA</v>
    <v>Map</v>
  </rv>
  <rv s="0">
    <v>536870912</v>
    <v>New Mexico</v>
    <v>a16d3636-4349-41c7-a77e-89e34b26a8ad</v>
    <v>en-CA</v>
    <v>Map</v>
  </rv>
  <rv s="0">
    <v>536870912</v>
    <v>North Dakota</v>
    <v>77fbc744-3efe-4aa9-9e8e-f8034f06b941</v>
    <v>en-CA</v>
    <v>Map</v>
  </rv>
  <rv s="0">
    <v>536870912</v>
    <v>North Carolina</v>
    <v>9e2bf053-dd80-4646-8f26-65075e7085c0</v>
    <v>en-CA</v>
    <v>Map</v>
  </rv>
  <rv s="0">
    <v>536870912</v>
    <v>Ohio</v>
    <v>6f3df7da-1ef6-48e3-b2b3-b5b5fce3e846</v>
    <v>en-CA</v>
    <v>Map</v>
  </rv>
  <rv s="0">
    <v>536870912</v>
    <v>Oklahoma</v>
    <v>cbcf556f-952a-4665-bb95-0500b27f9976</v>
    <v>en-CA</v>
    <v>Map</v>
  </rv>
  <rv s="0">
    <v>536870912</v>
    <v>Oregon</v>
    <v>cacd36fd-7c62-43e2-a632-64a2a1811933</v>
    <v>en-CA</v>
    <v>Map</v>
  </rv>
  <rv s="0">
    <v>536870912</v>
    <v>Pennsylvania</v>
    <v>6304580e-c803-4266-818a-971619176547</v>
    <v>en-CA</v>
    <v>Map</v>
  </rv>
  <rv s="0">
    <v>536870912</v>
    <v>Rhode Island</v>
    <v>65a08f52-b469-4f7c-8353-9b3c0b2a5752</v>
    <v>en-CA</v>
    <v>Map</v>
  </rv>
  <rv s="0">
    <v>536870912</v>
    <v>South Dakota</v>
    <v>9cee0b65-d357-479e-a066-31c634648f47</v>
    <v>en-CA</v>
    <v>Map</v>
  </rv>
  <rv s="0">
    <v>536870912</v>
    <v>South Carolina</v>
    <v>810015e8-b10b-4232-9e2c-de87a67bd26e</v>
    <v>en-CA</v>
    <v>Map</v>
  </rv>
  <rv s="0">
    <v>536870912</v>
    <v>Tennessee</v>
    <v>9bbc9c72-1bf1-4ef6-b66d-a6cdef70f4f3</v>
    <v>en-CA</v>
    <v>Map</v>
  </rv>
  <rv s="0">
    <v>536870912</v>
    <v>Texas</v>
    <v>00a23ccd-3344-461c-8b9f-c2bb55be5815</v>
    <v>en-CA</v>
    <v>Map</v>
  </rv>
  <rv s="0">
    <v>536870912</v>
    <v>Utah</v>
    <v>c6705e44-d27f-4240-95a2-54e802e3b524</v>
    <v>en-CA</v>
    <v>Map</v>
  </rv>
  <rv s="0">
    <v>536870912</v>
    <v>Vermont</v>
    <v>221864cc-447e-4e78-847c-59e485d73bff</v>
    <v>en-CA</v>
    <v>Map</v>
  </rv>
  <rv s="0">
    <v>536870912</v>
    <v>Virginia</v>
    <v>7eee9976-e8a7-472c-ada1-007208abd678</v>
    <v>en-CA</v>
    <v>Map</v>
  </rv>
  <rv s="0">
    <v>536870912</v>
    <v>Washington</v>
    <v>982ad551-fd5d-45df-bd70-bf704dd576e4</v>
    <v>en-CA</v>
    <v>Map</v>
  </rv>
  <rv s="0">
    <v>536870912</v>
    <v>West Virginia</v>
    <v>8a47255a-fae3-4faa-aa32-c6f384cb6c1d</v>
    <v>en-CA</v>
    <v>Map</v>
  </rv>
  <rv s="0">
    <v>536870912</v>
    <v>Wisconsin</v>
    <v>cb4d2853-06f4-4467-8e7c-4e31cbb35cb2</v>
    <v>en-CA</v>
    <v>Map</v>
  </rv>
  <rv s="0">
    <v>536870912</v>
    <v>Wyoming</v>
    <v>bff03ad6-2b7f-400b-a76e-eb9fc4a93961</v>
    <v>en-CA</v>
    <v>Map</v>
  </rv>
  <rv s="0">
    <v>536870912</v>
    <v>American Samoa</v>
    <v>12d04d63-b9b5-855b-0821-b32474a729a4</v>
    <v>en-CA</v>
    <v>Map</v>
  </rv>
  <rv s="0">
    <v>536870912</v>
    <v>United States Virgin Islands</v>
    <v>38bd827b-bc00-140e-85be-46a96078429c</v>
    <v>en-CA</v>
    <v>Map</v>
  </rv>
  <rv s="0">
    <v>536870912</v>
    <v>Guam</v>
    <v>f842c067-b461-3084-6a3b-6c6c7431fc9a</v>
    <v>en-CA</v>
    <v>Map</v>
  </rv>
  <rv s="0">
    <v>536870912</v>
    <v>Northern Mariana Islands</v>
    <v>f4475436-adda-9ff0-b5fe-6c3dff0e26be</v>
    <v>en-CA</v>
    <v>Map</v>
  </rv>
  <rv s="0">
    <v>536870912</v>
    <v>Puerto Rico</v>
    <v>72752f4d-11d3-5470-b64e-b9e012b0520f</v>
    <v>en-CA</v>
    <v>Map</v>
  </rv>
  <rv s="3">
    <v>4</v>
  </rv>
  <rv s="1">
    <fb>9.5866513904898809E-2</fb>
    <v>29</v>
  </rv>
  <rv s="3">
    <v>5</v>
  </rv>
  <rv s="1">
    <fb>0.36599999999999999</fb>
    <v>29</v>
  </rv>
  <rv s="1">
    <fb>0.14699999999999999</fb>
    <v>36</v>
  </rv>
  <rv s="1">
    <fb>270663028</fb>
    <v>8</v>
  </rv>
  <rv s="6">
    <v>#VALUE!</v>
    <v>en-CA</v>
    <v>5232ed96-85b1-2edb-12c6-63e6c597a1de</v>
    <v>536870912</v>
    <v>1</v>
    <v>26</v>
    <v>27</v>
    <v>United States</v>
    <v>4</v>
    <v>5</v>
    <v>Map</v>
    <v>6</v>
    <v>28</v>
    <v>US</v>
    <v>14</v>
    <v>15</v>
    <v>16</v>
    <v>17</v>
    <v>18</v>
    <v>19</v>
    <v>20</v>
    <v>21</v>
    <v>22</v>
    <v>USD</v>
    <v>The United States of America, also known as the United States or America, is a country primarily located in North America. It is a federal republic of 50 states and Washington, D.C. as its federal capital district. The 48 contiguous states ...</v>
    <v>23</v>
    <v>24</v>
    <v>25</v>
    <v>26</v>
    <v>27</v>
    <v>28</v>
    <v>29</v>
    <v>30</v>
    <v>31</v>
    <v>32</v>
    <v>33</v>
    <v>38</v>
    <v>39</v>
    <v>40</v>
    <v>41</v>
    <v>42</v>
    <v>43</v>
    <v>United States</v>
    <v>The Star-Spangled Banner</v>
    <v>44</v>
    <v>the United States of America</v>
    <v>45</v>
    <v>46</v>
    <v>47</v>
    <v>48</v>
    <v>49</v>
    <v>50</v>
    <v>51</v>
    <v>52</v>
    <v>53</v>
    <v>54</v>
    <v>55</v>
    <v>110</v>
    <v>111</v>
    <v>112</v>
    <v>113</v>
    <v>114</v>
    <v>United States</v>
    <v>115</v>
    <v>mdp/vdpid/244</v>
  </rv>
  <rv s="1">
    <fb>1213.369839</fb>
    <v>8</v>
  </rv>
  <rv s="2">
    <v>2</v>
    <v>6</v>
    <v>37</v>
    <v>7</v>
    <v>0</v>
    <v>Image of New York City</v>
  </rv>
  <rv s="1">
    <fb>40.700000000000003</fb>
    <v>9</v>
  </rv>
  <rv s="0">
    <v>805306368</v>
    <v>Eric Adams (Mayor)</v>
    <v>d104f492-36f0-3246-f9f7-c35dae370b2c</v>
    <v>en-CA</v>
    <v>Generic</v>
  </rv>
  <rv s="3">
    <v>6</v>
  </rv>
  <rv s="4">
    <v>https://www.bing.com/search?q=new+york+city&amp;form=skydnc</v>
    <v>Learn more on Bing</v>
  </rv>
  <rv s="1">
    <fb>-74</fb>
    <v>9</v>
  </rv>
  <rv s="1">
    <fb>8804190</fb>
    <v>8</v>
  </rv>
  <rv s="7">
    <v>#VALUE!</v>
    <v>en-CA</v>
    <v>60d5dc2b-c915-460b-b722-c9e3485499ca</v>
    <v>536870912</v>
    <v>1</v>
    <v>38</v>
    <v>39</v>
    <v>New York City</v>
    <v>4</v>
    <v>5</v>
    <v>Map</v>
    <v>6</v>
    <v>7</v>
    <v>1</v>
    <v>117</v>
    <v>4</v>
    <v>New York, often called New York City or simply NYC, is the most populous city in the United States, located at the southern tip of New York State on one of the world's largest natural harbors. The city comprises five boroughs, each coextensive ...</v>
    <v>118</v>
    <v>119</v>
    <v>121</v>
    <v>122</v>
    <v>123</v>
    <v>New York City</v>
    <v>124</v>
    <v>12</v>
    <v>New York City</v>
    <v>mdp/vdpid/5487505297524129794</v>
  </rv>
  <rv s="0">
    <v>536870912</v>
    <v>Stony Brook, New York</v>
    <v>7a7446a0-a7f8-309a-3701-881b9289c209</v>
    <v>en-CA</v>
    <v>Map</v>
  </rv>
  <rv s="0">
    <v>536870912</v>
    <v>Suffolk County</v>
    <v>5ade1419-d7ba-1236-e078-5c33919f7c0e</v>
    <v>en-CA</v>
    <v>Map</v>
  </rv>
  <rv s="0">
    <v>536870912</v>
    <v>Brookhaven</v>
    <v>122814ef-9a0f-cd23-407a-f0085d7dd3d9</v>
    <v>en-CA</v>
    <v>Map</v>
  </rv>
  <rv s="1">
    <fb>15.395867000000001</fb>
    <v>8</v>
  </rv>
  <rv s="2">
    <v>3</v>
    <v>6</v>
    <v>40</v>
    <v>7</v>
    <v>0</v>
    <v>Image of Stony Brook, New York</v>
  </rv>
  <rv s="1">
    <fb>40.906388888888998</fb>
    <v>9</v>
  </rv>
  <rv s="4">
    <v>https://www.bing.com/search?q=stony+brook+new+york&amp;form=skydnc</v>
    <v>Learn more on Bing</v>
  </rv>
  <rv s="1">
    <fb>-73.128333333333003</fb>
    <v>9</v>
  </rv>
  <rv s="1">
    <fb>13467</fb>
    <v>8</v>
  </rv>
  <rv s="8">
    <v>#VALUE!</v>
    <v>en-CA</v>
    <v>7a7446a0-a7f8-309a-3701-881b9289c209</v>
    <v>536870912</v>
    <v>1</v>
    <v>41</v>
    <v>42</v>
    <v>Stony Brook, New York</v>
    <v>4</v>
    <v>5</v>
    <v>Map</v>
    <v>6</v>
    <v>7</v>
    <v>127</v>
    <v>128</v>
    <v>129</v>
    <v>4</v>
    <v>Stony Brook is a hamlet and census-designated place in the Town of Brookhaven in Suffolk County, New York, United States, on the North Shore of Long Island. Begun in the colonial era as an agricultural enclave, the hamlet experienced growth ...</v>
    <v>130</v>
    <v>131</v>
    <v>132</v>
    <v>133</v>
    <v>Stony Brook, New York</v>
    <v>134</v>
    <v>Stony Brook, New York</v>
    <v>mdp/vdpid/5487353486720892929</v>
  </rv>
  <rv s="0">
    <v>536870912</v>
    <v>East Syracuse, New York</v>
    <v>6c9dd379-3ec1-bda6-5186-dffa7b3a28a4</v>
    <v>en-CA</v>
    <v>Map</v>
  </rv>
  <rv s="0">
    <v>536870912</v>
    <v>Onondaga County</v>
    <v>22c8e3cc-fd2f-561b-5620-f16c3230a549</v>
    <v>en-CA</v>
    <v>Map</v>
  </rv>
  <rv s="1">
    <fb>4.1981640000000002</fb>
    <v>8</v>
  </rv>
  <rv s="2">
    <v>4</v>
    <v>6</v>
    <v>43</v>
    <v>7</v>
    <v>0</v>
    <v>Image of East Syracuse, New York</v>
  </rv>
  <rv s="1">
    <fb>43.064399999999999</fb>
    <v>9</v>
  </rv>
  <rv s="4">
    <v>https://www.bing.com/search?q=east+syracuse+new+york&amp;form=skydnc</v>
    <v>Learn more on Bing</v>
  </rv>
  <rv s="1">
    <fb>-76.070300000000003</fb>
    <v>9</v>
  </rv>
  <rv s="1">
    <fb>3078</fb>
    <v>8</v>
  </rv>
  <rv s="8">
    <v>#VALUE!</v>
    <v>en-CA</v>
    <v>6c9dd379-3ec1-bda6-5186-dffa7b3a28a4</v>
    <v>536870912</v>
    <v>1</v>
    <v>44</v>
    <v>42</v>
    <v>East Syracuse, New York</v>
    <v>4</v>
    <v>5</v>
    <v>Map</v>
    <v>6</v>
    <v>7</v>
    <v>1</v>
    <v>137</v>
    <v>138</v>
    <v>4</v>
    <v>East Syracuse is an incorporated village and a suburb of the City of Syracuse in eastern Onondaga County, New York, United States. As of the 2020 census, the population was 3,078. It is located immediately east of Syracuse, in the town of DeWitt.</v>
    <v>139</v>
    <v>140</v>
    <v>141</v>
    <v>142</v>
    <v>East Syracuse, New York</v>
    <v>143</v>
    <v>East Syracuse, New York</v>
    <v>mdp/vdpid/5485874780315844609</v>
  </rv>
  <rv s="0">
    <v>536870912</v>
    <v>Atlanta</v>
    <v>1a92f3fa-61f9-4e89-b606-40c945cf18d1</v>
    <v>en-CA</v>
    <v>Map</v>
  </rv>
  <rv s="0">
    <v>536870912</v>
    <v>DeKalb County, Georgia</v>
    <v>98248223-6f16-7d66-6c35-73cf788eed73</v>
    <v>en-CA</v>
    <v>Map</v>
  </rv>
  <rv s="1">
    <fb>347.99629299999998</fb>
    <v>8</v>
  </rv>
  <rv s="0">
    <v>536870912</v>
    <v>United States</v>
    <v>5232ed96-85b1-2edb-12c6-63e6c597a1de</v>
    <v>en-CA</v>
    <v>Map</v>
  </rv>
  <rv s="2">
    <v>5</v>
    <v>6</v>
    <v>45</v>
    <v>7</v>
    <v>0</v>
    <v>Image of Atlanta</v>
  </rv>
  <rv s="1">
    <fb>33.756944444444002</fb>
    <v>9</v>
  </rv>
  <rv s="0">
    <v>805306368</v>
    <v>Andre Dickens (Mayor)</v>
    <v>918e8ffb-f796-6aa8-b55d-975746d23fdb</v>
    <v>en-CA</v>
    <v>Generic</v>
  </rv>
  <rv s="3">
    <v>7</v>
  </rv>
  <rv s="4">
    <v>https://www.bing.com/search?q=atlanta+georgia&amp;form=skydnc</v>
    <v>Learn more on Bing</v>
  </rv>
  <rv s="1">
    <fb>-84.390277777777996</fb>
    <v>9</v>
  </rv>
  <rv s="1">
    <fb>510823</fb>
    <v>8</v>
  </rv>
  <rv s="5">
    <v>#VALUE!</v>
    <v>en-CA</v>
    <v>1a92f3fa-61f9-4e89-b606-40c945cf18d1</v>
    <v>536870912</v>
    <v>1</v>
    <v>46</v>
    <v>2</v>
    <v>Atlanta</v>
    <v>4</v>
    <v>5</v>
    <v>Map</v>
    <v>6</v>
    <v>47</v>
    <v>65</v>
    <v>146</v>
    <v>147</v>
    <v>148</v>
    <v>Atlanta is the capital and most populous city in the U.S. state of Georgia. It is the seat of Fulton County, and a portion of the city extends into neighboring DeKalb County. With a population of 510,823 living within the city limits, Atlanta is ...</v>
    <v>149</v>
    <v>150</v>
    <v>152</v>
    <v>153</v>
    <v>154</v>
    <v>Atlanta</v>
    <v>155</v>
    <v>12</v>
    <v>Atlanta</v>
    <v>mdp/vdpid/5495142157364756481</v>
  </rv>
  <rv s="0">
    <v>536870912</v>
    <v>Norwalk, Connecticut</v>
    <v>cd72956e-a66f-407c-99e5-623f20bac14f</v>
    <v>en-CA</v>
    <v>Map</v>
  </rv>
  <rv s="0">
    <v>536870912</v>
    <v>Fairfield County</v>
    <v>237b369a-0d8a-367d-a4bf-b0e1ad8df823</v>
    <v>en-CA</v>
    <v>Map</v>
  </rv>
  <rv s="1">
    <fb>94.203794000000002</fb>
    <v>8</v>
  </rv>
  <rv s="2">
    <v>6</v>
    <v>6</v>
    <v>48</v>
    <v>7</v>
    <v>0</v>
    <v>Image of Norwalk, Connecticut</v>
  </rv>
  <rv s="1">
    <fb>41.093888888888998</fb>
    <v>9</v>
  </rv>
  <rv s="0">
    <v>805306368</v>
    <v>Harry Rilling (Mayor)</v>
    <v>991d68ca-309e-5f32-f0d4-fb4adbe88a06</v>
    <v>en-CA</v>
    <v>Generic</v>
  </rv>
  <rv s="3">
    <v>8</v>
  </rv>
  <rv s="4">
    <v>https://www.bing.com/search?q=norwalk+connecticut&amp;form=skydnc</v>
    <v>Learn more on Bing</v>
  </rv>
  <rv s="1">
    <fb>-73.419722222222006</fb>
    <v>9</v>
  </rv>
  <rv s="1">
    <fb>91184</fb>
    <v>8</v>
  </rv>
  <rv s="9">
    <v>#VALUE!</v>
    <v>en-CA</v>
    <v>cd72956e-a66f-407c-99e5-623f20bac14f</v>
    <v>536870912</v>
    <v>1</v>
    <v>49</v>
    <v>50</v>
    <v>Norwalk, Connecticut</v>
    <v>4</v>
    <v>5</v>
    <v>Map</v>
    <v>6</v>
    <v>7</v>
    <v>62</v>
    <v>158</v>
    <v>159</v>
    <v>4</v>
    <v>Norwalk is a city located in Western Connecticut, United States, in southern Fairfield County, on the northern shore of the Long Island Sound. Norwalk lies within both the New York metropolitan area and the Bridgeport metropolitan area.</v>
    <v>160</v>
    <v>161</v>
    <v>163</v>
    <v>164</v>
    <v>165</v>
    <v>Norwalk, Connecticut</v>
    <v>166</v>
    <v>Norwalk, Connecticut</v>
    <v>mdp/vdpid/5487347652225925121</v>
  </rv>
  <rv s="1">
    <fb>2168</fb>
    <v>8</v>
  </rv>
  <rv s="2">
    <v>7</v>
    <v>6</v>
    <v>51</v>
    <v>7</v>
    <v>0</v>
    <v>Image of Fairfield County, Connecticut</v>
  </rv>
  <rv s="0">
    <v>536870912</v>
    <v>Bridgeport</v>
    <v>a8869591-489d-40ba-b80b-b6d1e6c19391</v>
    <v>en-CA</v>
    <v>Map</v>
  </rv>
  <rv s="4">
    <v>https://www.bing.com/search?q=fairfield+county+connecticut&amp;form=skydnc</v>
    <v>Learn more on Bing</v>
  </rv>
  <rv s="1">
    <fb>957419</fb>
    <v>8</v>
  </rv>
  <rv s="10">
    <v>#VALUE!</v>
    <v>en-CA</v>
    <v>237b369a-0d8a-367d-a4bf-b0e1ad8df823</v>
    <v>536870912</v>
    <v>1</v>
    <v>52</v>
    <v>53</v>
    <v>Fairfield County, Connecticut</v>
    <v>54</v>
    <v>5</v>
    <v>Map</v>
    <v>6</v>
    <v>7</v>
    <v>62</v>
    <v>168</v>
    <v>4</v>
    <v>Fairfield County is a county in the southwestern corner of the U.S. state of Connecticut. It is the most populous county in the state and was also its fastest-growing from 2010 to 2020. As of the 2020 census, the county's population was 957,419, ...</v>
    <v>169</v>
    <v>170</v>
    <v>171</v>
    <v>Fairfield County, Connecticut</v>
    <v>172</v>
    <v>12</v>
    <v>Fairfield County, Connecticut</v>
    <v>mdp/vdpid/10035120</v>
  </rv>
  <rv s="0">
    <v>536870912</v>
    <v>Chantilly, Virginia</v>
    <v>cc1c1b5d-59a9-2c87-cdbd-3e9b945726ab</v>
    <v>en-CA</v>
    <v>Map</v>
  </rv>
  <rv s="0">
    <v>536870912</v>
    <v>Fairfax County</v>
    <v>d871e573-e02f-6815-abec-824374067665</v>
    <v>en-CA</v>
    <v>Map</v>
  </rv>
  <rv s="1">
    <fb>31.414822999999998</fb>
    <v>8</v>
  </rv>
  <rv s="2">
    <v>8</v>
    <v>6</v>
    <v>55</v>
    <v>7</v>
    <v>0</v>
    <v>Image of Chantilly, Virginia</v>
  </rv>
  <rv s="1">
    <fb>38.894166666666997</fb>
    <v>9</v>
  </rv>
  <rv s="4">
    <v>https://www.bing.com/search?q=chantilly+virginia&amp;form=skydnc</v>
    <v>Learn more on Bing</v>
  </rv>
  <rv s="1">
    <fb>-77.431111111110994</fb>
    <v>9</v>
  </rv>
  <rv s="1">
    <fb>24301</fb>
    <v>8</v>
  </rv>
  <rv s="8">
    <v>#VALUE!</v>
    <v>en-CA</v>
    <v>cc1c1b5d-59a9-2c87-cdbd-3e9b945726ab</v>
    <v>536870912</v>
    <v>1</v>
    <v>56</v>
    <v>42</v>
    <v>Chantilly, Virginia</v>
    <v>4</v>
    <v>5</v>
    <v>Map</v>
    <v>6</v>
    <v>7</v>
    <v>100</v>
    <v>175</v>
    <v>176</v>
    <v>4</v>
    <v>Chantilly is a census-designated place in western Fairfax County, Virginia. The population was 24,301 as of the 2020 census. Chantilly is named after an early-19th-century mansion and farm, which in turn took the name of an 18th-century ...</v>
    <v>177</v>
    <v>178</v>
    <v>179</v>
    <v>180</v>
    <v>Chantilly, Virginia</v>
    <v>181</v>
    <v>Chantilly, Virginia</v>
    <v>mdp/vdpid/5489953286041632769</v>
  </rv>
  <rv s="0">
    <v>536870912</v>
    <v>Pittsburgh</v>
    <v>67b9bd42-dc58-455c-9858-ece11da6a2fd</v>
    <v>en-CA</v>
    <v>Map</v>
  </rv>
  <rv s="0">
    <v>536870912</v>
    <v>Allegheny County, Pennsylvania</v>
    <v>0545943c-8c71-ab81-283b-fb5f8f3bcb81</v>
    <v>en-CA</v>
    <v>Map</v>
  </rv>
  <rv s="1">
    <fb>151</fb>
    <v>8</v>
  </rv>
  <rv s="0">
    <v>536870912</v>
    <v>United States</v>
    <v>e3ef53f2-d302-b22a-64a7-6e0ce65be769</v>
    <v>en-CA</v>
    <v>Map</v>
  </rv>
  <rv s="2">
    <v>9</v>
    <v>6</v>
    <v>57</v>
    <v>7</v>
    <v>0</v>
    <v>Image of Pittsburgh</v>
  </rv>
  <rv s="1">
    <fb>40.441666666666698</fb>
    <v>9</v>
  </rv>
  <rv s="0">
    <v>805306368</v>
    <v>Ed Gainey (Mayor)</v>
    <v>2e529e45-5c30-976a-b3a8-08cde96efdc4</v>
    <v>en-CA</v>
    <v>Generic</v>
  </rv>
  <rv s="3">
    <v>9</v>
  </rv>
  <rv s="4">
    <v>https://www.bing.com/search?q=pittsburgh&amp;form=skydnc</v>
    <v>Learn more on Bing</v>
  </rv>
  <rv s="1">
    <fb>-80</fb>
    <v>9</v>
  </rv>
  <rv s="1">
    <fb>303255</fb>
    <v>8</v>
  </rv>
  <rv s="5">
    <v>#VALUE!</v>
    <v>en-CA</v>
    <v>67b9bd42-dc58-455c-9858-ece11da6a2fd</v>
    <v>536870912</v>
    <v>1</v>
    <v>58</v>
    <v>2</v>
    <v>Pittsburgh</v>
    <v>4</v>
    <v>5</v>
    <v>Map</v>
    <v>6</v>
    <v>47</v>
    <v>92</v>
    <v>184</v>
    <v>185</v>
    <v>186</v>
    <v>Pittsburgh is a city in and the county seat of Allegheny County, Pennsylvania, United States. It is the second-most populous city in Pennsylvania and the 68th-most populous city in the U.S., with a population of 302,971 as of the 2020 census. ...</v>
    <v>187</v>
    <v>188</v>
    <v>190</v>
    <v>191</v>
    <v>192</v>
    <v>Pittsburgh</v>
    <v>193</v>
    <v>12</v>
    <v>Pittsburgh</v>
    <v>mdp/vdpid/5480746593323843587</v>
  </rv>
  <rv s="0">
    <v>536870912</v>
    <v>Fairfield County, Connecticut</v>
    <v>237b369a-0d8a-367d-a4bf-b0e1ad8df823</v>
    <v>en-CA</v>
    <v>Map</v>
  </rv>
  <rv s="0">
    <v>536870912</v>
    <v>Enfield, Connecticut</v>
    <v>511576f8-75a3-fbf8-cbd3-7bed33c06728</v>
    <v>en-CA</v>
    <v>Map</v>
  </rv>
  <rv s="0">
    <v>536870912</v>
    <v>Hartford County</v>
    <v>94cecb28-fc66-23e8-ea63-b6e8987b2c25</v>
    <v>en-CA</v>
    <v>Map</v>
  </rv>
  <rv s="1">
    <fb>88.6</fb>
    <v>8</v>
  </rv>
  <rv s="2">
    <v>10</v>
    <v>6</v>
    <v>59</v>
    <v>7</v>
    <v>0</v>
    <v>Image of Enfield, Connecticut</v>
  </rv>
  <rv s="1">
    <fb>41.98</fb>
    <v>9</v>
  </rv>
  <rv s="4">
    <v>https://www.bing.com/search?q=enfield+connecticut&amp;form=skydnc</v>
    <v>Learn more on Bing</v>
  </rv>
  <rv s="1">
    <fb>-72.549722222222002</fb>
    <v>9</v>
  </rv>
  <rv s="1">
    <fb>42141</fb>
    <v>8</v>
  </rv>
  <rv s="8">
    <v>#VALUE!</v>
    <v>en-CA</v>
    <v>511576f8-75a3-fbf8-cbd3-7bed33c06728</v>
    <v>536870912</v>
    <v>1</v>
    <v>60</v>
    <v>42</v>
    <v>Enfield, Connecticut</v>
    <v>4</v>
    <v>5</v>
    <v>Map</v>
    <v>6</v>
    <v>7</v>
    <v>62</v>
    <v>197</v>
    <v>198</v>
    <v>4</v>
    <v>Enfield is a town in Hartford County, Connecticut, United States, first settled by John and Robert Pease of Salem, Massachusetts Bay Colony. The town is part of the Capitol Planning Region. The population was 42,141 at the 2020 census. It is ...</v>
    <v>199</v>
    <v>200</v>
    <v>201</v>
    <v>202</v>
    <v>Enfield, Connecticut</v>
    <v>203</v>
    <v>Enfield, Connecticut</v>
    <v>mdp/vdpid/5488778289340219393</v>
  </rv>
  <rv s="0">
    <v>536870912</v>
    <v>Rochester, New York</v>
    <v>879e4c16-f735-411f-bdf9-0af621dad8ad</v>
    <v>en-CA</v>
    <v>Map</v>
  </rv>
  <rv s="0">
    <v>536870912</v>
    <v>Monroe County, New York</v>
    <v>830d08b4-d610-0ba3-8303-bebac3655d17</v>
    <v>en-CA</v>
    <v>Map</v>
  </rv>
  <rv s="1">
    <fb>96.225189</fb>
    <v>8</v>
  </rv>
  <rv s="2">
    <v>11</v>
    <v>6</v>
    <v>61</v>
    <v>7</v>
    <v>0</v>
    <v>Image of Rochester, New York</v>
  </rv>
  <rv s="1">
    <fb>43.165555555555997</fb>
    <v>9</v>
  </rv>
  <rv s="0">
    <v>805306368</v>
    <v>Malik Evans (Mayor)</v>
    <v>a9354d68-f913-ea9e-c05a-249b13279c02</v>
    <v>en-CA</v>
    <v>Generic</v>
  </rv>
  <rv s="3">
    <v>10</v>
  </rv>
  <rv s="4">
    <v>https://www.bing.com/search?q=rochester+new+york&amp;form=skydnc</v>
    <v>Learn more on Bing</v>
  </rv>
  <rv s="1">
    <fb>-77.611388888888996</fb>
    <v>9</v>
  </rv>
  <rv s="1">
    <fb>211328</fb>
    <v>8</v>
  </rv>
  <rv s="5">
    <v>#VALUE!</v>
    <v>en-CA</v>
    <v>879e4c16-f735-411f-bdf9-0af621dad8ad</v>
    <v>536870912</v>
    <v>1</v>
    <v>62</v>
    <v>2</v>
    <v>Rochester, New York</v>
    <v>4</v>
    <v>5</v>
    <v>Map</v>
    <v>6</v>
    <v>7</v>
    <v>1</v>
    <v>206</v>
    <v>207</v>
    <v>186</v>
    <v>Rochester is a city in the U.S. state of New York and the county seat of Monroe County. It is the fourth-most populous city and 10th most-populated municipality in New York, with a population of 211,328 at the 2020 census. The city forms the ...</v>
    <v>208</v>
    <v>209</v>
    <v>211</v>
    <v>212</v>
    <v>213</v>
    <v>Rochester, New York</v>
    <v>214</v>
    <v>12</v>
    <v>Rochester, New York</v>
    <v>mdp/vdpid/5485728622276771841</v>
  </rv>
  <rv s="0">
    <v>536870912</v>
    <v>Newark, New Jersey</v>
    <v>12526fe6-792c-45e6-8124-54fec8a5d9e0</v>
    <v>en-CA</v>
    <v>Map</v>
  </rv>
  <rv s="0">
    <v>536870912</v>
    <v>Essex County</v>
    <v>def6c73e-051c-58a1-0b7c-3dac145b9489</v>
    <v>en-CA</v>
    <v>Map</v>
  </rv>
  <rv s="1">
    <fb>67.040795000000003</fb>
    <v>8</v>
  </rv>
  <rv s="2">
    <v>12</v>
    <v>6</v>
    <v>63</v>
    <v>7</v>
    <v>0</v>
    <v>Image of Newark, New Jersey</v>
  </rv>
  <rv s="1">
    <fb>40.735277777778002</fb>
    <v>9</v>
  </rv>
  <rv s="0">
    <v>805306368</v>
    <v>Ras Baraka (Mayor)</v>
    <v>de74b374-3781-bd0b-73fa-a9fc2d828925</v>
    <v>en-CA</v>
    <v>Generic</v>
  </rv>
  <rv s="3">
    <v>11</v>
  </rv>
  <rv s="4">
    <v>https://www.bing.com/search?q=newark+new+jersey&amp;form=skydnc</v>
    <v>Learn more on Bing</v>
  </rv>
  <rv s="1">
    <fb>-74.185000000000002</fb>
    <v>9</v>
  </rv>
  <rv s="1">
    <fb>311549</fb>
    <v>8</v>
  </rv>
  <rv s="5">
    <v>#VALUE!</v>
    <v>en-CA</v>
    <v>12526fe6-792c-45e6-8124-54fec8a5d9e0</v>
    <v>536870912</v>
    <v>1</v>
    <v>64</v>
    <v>2</v>
    <v>Newark, New Jersey</v>
    <v>4</v>
    <v>5</v>
    <v>Map</v>
    <v>6</v>
    <v>7</v>
    <v>85</v>
    <v>217</v>
    <v>218</v>
    <v>4</v>
    <v>Newark is the most populous city in the U.S. state of New Jersey, the county seat of Essex County, and a principal city of the New York metropolitan area. As of the 2020 census, the city's population was 311,549. The Population Estimates Program ...</v>
    <v>219</v>
    <v>220</v>
    <v>222</v>
    <v>223</v>
    <v>224</v>
    <v>Newark, New Jersey</v>
    <v>225</v>
    <v>12</v>
    <v>Newark, New Jersey</v>
    <v>mdp/vdpid/5487504505270435842</v>
  </rv>
  <rv s="0">
    <v>536870912</v>
    <v>Lodi, New Jersey</v>
    <v>ac32f43f-57ef-d8c5-0839-2420c8c3104d</v>
    <v>en-CA</v>
    <v>Map</v>
  </rv>
  <rv s="0">
    <v>536870912</v>
    <v>Bergen County, New Jersey</v>
    <v>95b92bea-39a1-5191-6b10-0e7a4a6ace31</v>
    <v>en-CA</v>
    <v>Map</v>
  </rv>
  <rv s="1">
    <fb>5.9302440000000001</fb>
    <v>8</v>
  </rv>
  <rv s="2">
    <v>13</v>
    <v>6</v>
    <v>65</v>
    <v>7</v>
    <v>0</v>
    <v>Image of Lodi, New Jersey</v>
  </rv>
  <rv s="1">
    <fb>40.877899999999997</fb>
    <v>9</v>
  </rv>
  <rv s="0">
    <v>805306368</v>
    <v>Scott A. Luna (Mayor)</v>
    <v>c98afd63-e4c5-ca5a-b16f-9b9555d29ac9</v>
    <v>en-CA</v>
    <v>Generic</v>
  </rv>
  <rv s="3">
    <v>12</v>
  </rv>
  <rv s="4">
    <v>https://www.bing.com/search?q=lodi+new+jersey&amp;form=skydnc</v>
    <v>Learn more on Bing</v>
  </rv>
  <rv s="1">
    <fb>-74.082499999999996</fb>
    <v>9</v>
  </rv>
  <rv s="1">
    <fb>25832</fb>
    <v>8</v>
  </rv>
  <rv s="5">
    <v>#VALUE!</v>
    <v>en-CA</v>
    <v>ac32f43f-57ef-d8c5-0839-2420c8c3104d</v>
    <v>536870912</v>
    <v>1</v>
    <v>66</v>
    <v>2</v>
    <v>Lodi, New Jersey</v>
    <v>4</v>
    <v>5</v>
    <v>Map</v>
    <v>6</v>
    <v>47</v>
    <v>85</v>
    <v>228</v>
    <v>229</v>
    <v>148</v>
    <v>Lodi is a borough in Bergen County, in the U.S. state of New Jersey. As of the 2020 United States census, the borough's population was 26,207, an increase of 2,070 from the 2010 census count of 24,136, which in turn reflected an increase of 165 ...</v>
    <v>230</v>
    <v>231</v>
    <v>233</v>
    <v>234</v>
    <v>235</v>
    <v>Lodi, New Jersey</v>
    <v>236</v>
    <v>12</v>
    <v>Lodi, New Jersey</v>
    <v>mdp/vdpid/5487316038984925186</v>
  </rv>
  <rv s="0">
    <v>536870912</v>
    <v>Boston</v>
    <v>f0f5899a-361f-4fe4-89d1-11130aa2c653</v>
    <v>en-CA</v>
    <v>Map</v>
  </rv>
  <rv s="0">
    <v>536870912</v>
    <v>Suffolk County</v>
    <v>cc8426c8-f6bc-398c-aab9-d3baeeb8d2cd</v>
    <v>en-CA</v>
    <v>Map</v>
  </rv>
  <rv s="1">
    <fb>232.16776100000001</fb>
    <v>8</v>
  </rv>
  <rv s="0">
    <v>536870912</v>
    <v>Province of Massachusetts Bay</v>
    <v>05c8a95b-0b0f-51d2-5794-107d56018d69</v>
    <v>en-CA</v>
    <v>Map</v>
  </rv>
  <rv s="2">
    <v>14</v>
    <v>6</v>
    <v>67</v>
    <v>7</v>
    <v>0</v>
    <v>Image of Boston</v>
  </rv>
  <rv s="1">
    <fb>42.360277777777803</fb>
    <v>9</v>
  </rv>
  <rv s="0">
    <v>805306368</v>
    <v>Michelle Wu (Mayor)</v>
    <v>08af4efd-ebd0-46fe-8bf9-e695cde7c2b8</v>
    <v>en-CA</v>
    <v>Generic</v>
  </rv>
  <rv s="3">
    <v>13</v>
  </rv>
  <rv s="4">
    <v>https://www.bing.com/search?q=boston+massachusetts&amp;form=skydnc</v>
    <v>Learn more on Bing</v>
  </rv>
  <rv s="1">
    <fb>-71.057777777777801</fb>
    <v>9</v>
  </rv>
  <rv s="1">
    <fb>675647</fb>
    <v>8</v>
  </rv>
  <rv s="5">
    <v>#VALUE!</v>
    <v>en-CA</v>
    <v>f0f5899a-361f-4fe4-89d1-11130aa2c653</v>
    <v>536870912</v>
    <v>1</v>
    <v>68</v>
    <v>2</v>
    <v>Boston</v>
    <v>4</v>
    <v>5</v>
    <v>Map</v>
    <v>6</v>
    <v>7</v>
    <v>76</v>
    <v>239</v>
    <v>240</v>
    <v>241</v>
    <v>Boston, officially the state of Boston, is the capital and most populous city in the Commonwealth of Massachusetts in the United States. The city serves as the cultural and financial center of the New England region of the Northeastern United ...</v>
    <v>242</v>
    <v>243</v>
    <v>245</v>
    <v>246</v>
    <v>247</v>
    <v>Boston</v>
    <v>248</v>
    <v>12</v>
    <v>Boston</v>
    <v>mdp/vdpid/5488162429013590018</v>
  </rv>
  <rv s="0">
    <v>536870912</v>
    <v>Troy, New York</v>
    <v>c3d6a777-ead8-6208-7a1e-22be30e3f309</v>
    <v>en-CA</v>
    <v>Map</v>
  </rv>
  <rv s="0">
    <v>536870912</v>
    <v>Rensselaer County, New York</v>
    <v>af87da80-3ebf-b619-249c-e35761aa2dda</v>
    <v>en-CA</v>
    <v>Map</v>
  </rv>
  <rv s="1">
    <fb>28.637495999999999</fb>
    <v>8</v>
  </rv>
  <rv s="2">
    <v>15</v>
    <v>6</v>
    <v>69</v>
    <v>7</v>
    <v>0</v>
    <v>Image of Troy, New York</v>
  </rv>
  <rv s="1">
    <fb>42.731666666667003</fb>
    <v>9</v>
  </rv>
  <rv s="0">
    <v>805306368</v>
    <v>Carmella Mantello (Mayor)</v>
    <v>f080dcdc-e5ee-83e4-cb93-de3f9856ca43</v>
    <v>en-CA</v>
    <v>Generic</v>
  </rv>
  <rv s="3">
    <v>14</v>
  </rv>
  <rv s="4">
    <v>https://www.bing.com/search?q=troy+new+york&amp;form=skydnc</v>
    <v>Learn more on Bing</v>
  </rv>
  <rv s="1">
    <fb>-73.692499999999995</fb>
    <v>9</v>
  </rv>
  <rv s="1">
    <fb>51401</fb>
    <v>8</v>
  </rv>
  <rv s="5">
    <v>#VALUE!</v>
    <v>en-CA</v>
    <v>c3d6a777-ead8-6208-7a1e-22be30e3f309</v>
    <v>536870912</v>
    <v>1</v>
    <v>70</v>
    <v>2</v>
    <v>Troy, New York</v>
    <v>4</v>
    <v>5</v>
    <v>Map</v>
    <v>6</v>
    <v>7</v>
    <v>1</v>
    <v>251</v>
    <v>252</v>
    <v>186</v>
    <v>Troy is the county seat of Rensselaer County, New York, United States. It is located on the western edge of the county, on the eastern bank of the Hudson River just northeast of the capital city of Albany. At the 2020 census, the population of ...</v>
    <v>253</v>
    <v>254</v>
    <v>256</v>
    <v>257</v>
    <v>258</v>
    <v>Troy, New York</v>
    <v>259</v>
    <v>12</v>
    <v>Troy, New York</v>
    <v>mdp/vdpid/5486480213300740097</v>
  </rv>
  <rv s="0">
    <v>536870912</v>
    <v>Alexandria, Virginia</v>
    <v>e6017e17-b5ca-4803-84ca-a04d0137f5b8</v>
    <v>en-CA</v>
    <v>Map</v>
  </rv>
  <rv s="1">
    <fb>40.104858999999998</fb>
    <v>8</v>
  </rv>
  <rv s="2">
    <v>16</v>
    <v>6</v>
    <v>71</v>
    <v>7</v>
    <v>0</v>
    <v>Image of Alexandria, Virginia</v>
  </rv>
  <rv s="4">
    <v>https://www.bing.com/search?q=alexandria+virginia&amp;form=skydnc</v>
    <v>Learn more on Bing</v>
  </rv>
  <rv s="1">
    <fb>159467</fb>
    <v>8</v>
  </rv>
  <rv s="11">
    <v>#VALUE!</v>
    <v>en-CA</v>
    <v>e6017e17-b5ca-4803-84ca-a04d0137f5b8</v>
    <v>536870912</v>
    <v>1</v>
    <v>72</v>
    <v>73</v>
    <v>Alexandria, Virginia</v>
    <v>54</v>
    <v>5</v>
    <v>Map</v>
    <v>6</v>
    <v>7</v>
    <v>100</v>
    <v>262</v>
    <v>4</v>
    <v>Alexandria is an independent city in the northern region of the Commonwealth of Virginia, United States. It lies on the western bank of the Potomac River approximately 7 miles south of downtown Washington, D.C. Alexandria is the third-largest ...</v>
    <v>263</v>
    <v>264</v>
    <v>Alexandria, Virginia</v>
    <v>265</v>
    <v>12</v>
    <v>Alexandria, Virginia</v>
    <v>mdp/vdpid/10037616</v>
  </rv>
  <rv s="0">
    <v>536870912</v>
    <v>The Bronx</v>
    <v>7df5a4fa-bd7b-afb1-8d15-ee3b522a9231</v>
    <v>en-CA</v>
    <v>Map</v>
  </rv>
  <rv s="1">
    <fb>148</fb>
    <v>8</v>
  </rv>
  <rv s="2">
    <v>17</v>
    <v>6</v>
    <v>74</v>
    <v>7</v>
    <v>0</v>
    <v>Image of The Bronx</v>
  </rv>
  <rv s="1">
    <fb>40.846760000000003</fb>
    <v>9</v>
  </rv>
  <rv s="4">
    <v>https://www.bing.com/search?q=the+bronx&amp;form=skydnc</v>
    <v>Learn more on Bing</v>
  </rv>
  <rv s="1">
    <fb>-73.873206999999994</fb>
    <v>9</v>
  </rv>
  <rv s="1">
    <fb>1472654</fb>
    <v>8</v>
  </rv>
  <rv s="12">
    <v>#VALUE!</v>
    <v>en-CA</v>
    <v>7df5a4fa-bd7b-afb1-8d15-ee3b522a9231</v>
    <v>536870912</v>
    <v>1</v>
    <v>75</v>
    <v>76</v>
    <v>The Bronx</v>
    <v>4</v>
    <v>5</v>
    <v>Map</v>
    <v>6</v>
    <v>7</v>
    <v>1</v>
    <v>33</v>
    <v>268</v>
    <v>4</v>
    <v>The Bronx is the northernmost borough of New York City, coextensive with Bronx County, in the U.S. state of New York. It shares a land border with Westchester County to its north; to its south and west, the New York City borough of Manhattan is ...</v>
    <v>269</v>
    <v>270</v>
    <v>271</v>
    <v>272</v>
    <v>The Bronx</v>
    <v>273</v>
    <v>12</v>
    <v>The Bronx</v>
    <v>mdp/vdpid/10036791</v>
  </rv>
  <rv s="0">
    <v>536870912</v>
    <v>Houston</v>
    <v>ad99c262-d92e-4e88-87f7-5c66752fec36</v>
    <v>en-CA</v>
    <v>Map</v>
  </rv>
  <rv s="0">
    <v>536870912</v>
    <v>Montgomery County</v>
    <v>27d3e780-702a-653d-5cb6-1ab46da66710</v>
    <v>en-CA</v>
    <v>Map</v>
  </rv>
  <rv s="1">
    <fb>1724.5445070000001</fb>
    <v>8</v>
  </rv>
  <rv s="2">
    <v>18</v>
    <v>6</v>
    <v>77</v>
    <v>7</v>
    <v>0</v>
    <v>Image of Houston</v>
  </rv>
  <rv s="1">
    <fb>29.762777777777998</fb>
    <v>9</v>
  </rv>
  <rv s="0">
    <v>805306368</v>
    <v>Sylvester Turner (Mayor)</v>
    <v>70668f90-c5da-66f0-41ae-152a1286911b</v>
    <v>en-CA</v>
    <v>Generic</v>
  </rv>
  <rv s="3">
    <v>15</v>
  </rv>
  <rv s="4">
    <v>https://www.bing.com/search?q=houston+texas&amp;form=skydnc</v>
    <v>Learn more on Bing</v>
  </rv>
  <rv s="1">
    <fb>-95.383055555555998</fb>
    <v>9</v>
  </rv>
  <rv s="1">
    <fb>2304580</fb>
    <v>8</v>
  </rv>
  <rv s="3">
    <v>16</v>
  </rv>
  <rv s="5">
    <v>#VALUE!</v>
    <v>en-CA</v>
    <v>ad99c262-d92e-4e88-87f7-5c66752fec36</v>
    <v>536870912</v>
    <v>1</v>
    <v>78</v>
    <v>2</v>
    <v>Houston</v>
    <v>4</v>
    <v>5</v>
    <v>Map</v>
    <v>6</v>
    <v>7</v>
    <v>97</v>
    <v>276</v>
    <v>277</v>
    <v>4</v>
    <v>Houston is the most populous city in the U.S. state of Texas and in the Southern United States. Located in Southeast Texas near Galveston Bay and the Gulf of Mexico, it is the seat of Harris County; as well as the principal city of the Greater ...</v>
    <v>278</v>
    <v>279</v>
    <v>281</v>
    <v>282</v>
    <v>283</v>
    <v>Houston</v>
    <v>284</v>
    <v>285</v>
    <v>Houston</v>
    <v>mdp/vdpid/5110537662389813249</v>
  </rv>
  <rv s="0">
    <v>536870912</v>
    <v>Columbia, South Carolina</v>
    <v>0c8f6663-0a97-4263-b3e1-3cfe0b623552</v>
    <v>en-CA</v>
    <v>Map</v>
  </rv>
  <rv s="0">
    <v>536870912</v>
    <v>Lexington County, South Carolina</v>
    <v>8d54f0da-c7f0-df2c-f448-a39a2895e43e</v>
    <v>en-CA</v>
    <v>Map</v>
  </rv>
  <rv s="1">
    <fb>342.43099999999998</fb>
    <v>8</v>
  </rv>
  <rv s="2">
    <v>19</v>
    <v>6</v>
    <v>79</v>
    <v>7</v>
    <v>0</v>
    <v>Image of Columbia, South Carolina</v>
  </rv>
  <rv s="1">
    <fb>34.000555555555998</fb>
    <v>9</v>
  </rv>
  <rv s="0">
    <v>805306368</v>
    <v>Daniel Rickenmann (Mayor)</v>
    <v>34025a7f-27c8-3a04-dc37-e414eba99906</v>
    <v>en-CA</v>
    <v>Generic</v>
  </rv>
  <rv s="3">
    <v>17</v>
  </rv>
  <rv s="4">
    <v>https://www.bing.com/search?q=columbia+south+carolina&amp;form=skydnc</v>
    <v>Learn more on Bing</v>
  </rv>
  <rv s="1">
    <fb>-81.044166666666996</fb>
    <v>9</v>
  </rv>
  <rv s="1">
    <fb>142416</fb>
    <v>8</v>
  </rv>
  <rv s="5">
    <v>#VALUE!</v>
    <v>en-CA</v>
    <v>0c8f6663-0a97-4263-b3e1-3cfe0b623552</v>
    <v>536870912</v>
    <v>1</v>
    <v>80</v>
    <v>2</v>
    <v>Columbia, South Carolina</v>
    <v>4</v>
    <v>5</v>
    <v>Map</v>
    <v>6</v>
    <v>47</v>
    <v>95</v>
    <v>288</v>
    <v>289</v>
    <v>186</v>
    <v>Columbia is the capital city of the U.S. state of South Carolina. With a population of 136,632 at the 2020 census, it is the second-most populous city in South Carolina. The city serves as the county seat of Richland County, and a portion of the ...</v>
    <v>290</v>
    <v>291</v>
    <v>293</v>
    <v>294</v>
    <v>295</v>
    <v>Columbia, South Carolina</v>
    <v>296</v>
    <v>12</v>
    <v>Columbia, South Carolina</v>
    <v>mdp/vdpid/5485201474046656513</v>
  </rv>
  <rv s="0">
    <v>536870912</v>
    <v>Nashville, Tennessee</v>
    <v>e2accb9d-ccea-5b7c-7bbc-0db831476d61</v>
    <v>en-CA</v>
    <v>Map</v>
  </rv>
  <rv s="0">
    <v>536870912</v>
    <v>Davidson County</v>
    <v>333fe993-fea1-1234-e900-137860a296b7</v>
    <v>en-CA</v>
    <v>Map</v>
  </rv>
  <rv s="1">
    <fb>1367.25</fb>
    <v>8</v>
  </rv>
  <rv s="2">
    <v>20</v>
    <v>6</v>
    <v>81</v>
    <v>7</v>
    <v>0</v>
    <v>Image of Nashville, Tennessee</v>
  </rv>
  <rv s="1">
    <fb>36.162222222222198</fb>
    <v>9</v>
  </rv>
  <rv s="0">
    <v>805306368</v>
    <v>Freddie O'Connell (Mayor)</v>
    <v>8f43b321-4e8f-5e51-7aa8-e580959c5a98</v>
    <v>en-CA</v>
    <v>Generic</v>
  </rv>
  <rv s="3">
    <v>18</v>
  </rv>
  <rv s="4">
    <v>https://www.bing.com/search?q=nashville+tennessee&amp;form=skydnc</v>
    <v>Learn more on Bing</v>
  </rv>
  <rv s="1">
    <fb>-86.774444444444399</fb>
    <v>9</v>
  </rv>
  <rv s="1">
    <fb>689447</fb>
    <v>8</v>
  </rv>
  <rv s="5">
    <v>#VALUE!</v>
    <v>en-CA</v>
    <v>e2accb9d-ccea-5b7c-7bbc-0db831476d61</v>
    <v>536870912</v>
    <v>1</v>
    <v>82</v>
    <v>2</v>
    <v>Nashville, Tennessee</v>
    <v>4</v>
    <v>5</v>
    <v>Map</v>
    <v>6</v>
    <v>7</v>
    <v>96</v>
    <v>299</v>
    <v>300</v>
    <v>4</v>
    <v>Nashville is the capital and most populous city in the U.S. state of Tennessee and the county seat of Davidson County. With a population of 689,447 at the 2020 U.S. census, Nashville is the 21st most populous city in the United States, and the ...</v>
    <v>301</v>
    <v>302</v>
    <v>304</v>
    <v>305</v>
    <v>306</v>
    <v>Nashville, Tennessee</v>
    <v>307</v>
    <v>285</v>
    <v>Nashville, Tennessee</v>
    <v>mdp/vdpid/5482596216845893633</v>
  </rv>
  <rv s="0">
    <v>536870912</v>
    <v>Philadelphia</v>
    <v>020d4bbf-2971-4236-b87d-c3ec1d7f851c</v>
    <v>en-CA</v>
    <v>Map</v>
  </rv>
  <rv s="0">
    <v>536870912</v>
    <v>Philadelphia County</v>
    <v>e8ae5967-e59c-78fc-3b15-d4611f5ddf0e</v>
    <v>en-CA</v>
    <v>Map</v>
  </rv>
  <rv s="1">
    <fb>369.60925200000003</fb>
    <v>8</v>
  </rv>
  <rv s="2">
    <v>21</v>
    <v>6</v>
    <v>83</v>
    <v>7</v>
    <v>0</v>
    <v>Image of Philadelphia</v>
  </rv>
  <rv s="1">
    <fb>39.952777777778003</fb>
    <v>9</v>
  </rv>
  <rv s="0">
    <v>805306368</v>
    <v>Jim Kenney (Mayor)</v>
    <v>09cada68-d262-cf3e-5618-fcc403105e01</v>
    <v>en-CA</v>
    <v>Generic</v>
  </rv>
  <rv s="3">
    <v>19</v>
  </rv>
  <rv s="4">
    <v>https://www.bing.com/search?q=philadelphia&amp;form=skydnc</v>
    <v>Learn more on Bing</v>
  </rv>
  <rv s="1">
    <fb>-75.163611111110995</fb>
    <v>9</v>
  </rv>
  <rv s="1">
    <fb>1603797</fb>
    <v>8</v>
  </rv>
  <rv s="5">
    <v>#VALUE!</v>
    <v>en-CA</v>
    <v>020d4bbf-2971-4236-b87d-c3ec1d7f851c</v>
    <v>536870912</v>
    <v>1</v>
    <v>84</v>
    <v>2</v>
    <v>Philadelphia</v>
    <v>4</v>
    <v>5</v>
    <v>Map</v>
    <v>6</v>
    <v>7</v>
    <v>92</v>
    <v>310</v>
    <v>311</v>
    <v>4</v>
    <v>Philadelphia, commonly referred to as Philly, is the most populous city in the U.S. state of Pennsylvania and the sixth-most populous city in the nation, with a population of 1,603,797 in the 2020 census. The city is the urban core of the larger ...</v>
    <v>312</v>
    <v>313</v>
    <v>315</v>
    <v>316</v>
    <v>317</v>
    <v>Philadelphia</v>
    <v>318</v>
    <v>12</v>
    <v>Philadelphia</v>
    <v>mdp/vdpid/5487461586467553286</v>
  </rv>
  <rv s="0">
    <v>536870912</v>
    <v>Charleston, South Carolina</v>
    <v>cebb4aca-ea5b-40ca-99c1-dba28163d54a</v>
    <v>en-CA</v>
    <v>Map</v>
  </rv>
  <rv s="0">
    <v>536870912</v>
    <v>Charleston County</v>
    <v>77020ce9-858e-34db-6e64-82dc3ba1de38</v>
    <v>en-CA</v>
    <v>Map</v>
  </rv>
  <rv s="1">
    <fb>330.30013200000002</fb>
    <v>8</v>
  </rv>
  <rv s="2">
    <v>22</v>
    <v>6</v>
    <v>85</v>
    <v>7</v>
    <v>0</v>
    <v>Image of Charleston, South Carolina</v>
  </rv>
  <rv s="1">
    <fb>32.783333333333303</fb>
    <v>9</v>
  </rv>
  <rv s="0">
    <v>805306368</v>
    <v>William S. Cogswell Jr. (Mayor)</v>
    <v>b3c53918-cbc2-53b2-f3cc-444d03436a4d</v>
    <v>en-CA</v>
    <v>Generic</v>
  </rv>
  <rv s="3">
    <v>20</v>
  </rv>
  <rv s="4">
    <v>https://www.bing.com/search?q=charleston+south+carolina&amp;form=skydnc</v>
    <v>Learn more on Bing</v>
  </rv>
  <rv s="1">
    <fb>-79.931944444444397</fb>
    <v>9</v>
  </rv>
  <rv s="1">
    <fb>150227</fb>
    <v>8</v>
  </rv>
  <rv s="5">
    <v>#VALUE!</v>
    <v>en-CA</v>
    <v>cebb4aca-ea5b-40ca-99c1-dba28163d54a</v>
    <v>536870912</v>
    <v>1</v>
    <v>86</v>
    <v>2</v>
    <v>Charleston, South Carolina</v>
    <v>4</v>
    <v>5</v>
    <v>Map</v>
    <v>6</v>
    <v>7</v>
    <v>95</v>
    <v>321</v>
    <v>322</v>
    <v>4</v>
    <v>Charleston is the most populous city in the U.S. state of South Carolina, the county seat of Charleston County, and the principal city in the Charleston metropolitan area. The city lies just south of the geographical midpoint of South Carolina's ...</v>
    <v>323</v>
    <v>324</v>
    <v>326</v>
    <v>327</v>
    <v>328</v>
    <v>Charleston, South Carolina</v>
    <v>329</v>
    <v>12</v>
    <v>Charleston, South Carolina</v>
    <v>mdp/vdpid/5497423963195703297</v>
  </rv>
  <rv s="0">
    <v>536870912</v>
    <v>Plano, Texas</v>
    <v>a7f82efc-acdb-43a6-b31b-b2501c786e7b</v>
    <v>en-CA</v>
    <v>Map</v>
  </rv>
  <rv s="0">
    <v>536870912</v>
    <v>Denton County</v>
    <v>43d04676-4fda-0025-6915-c164e91a94b6</v>
    <v>en-CA</v>
    <v>Map</v>
  </rv>
  <rv s="1">
    <fb>186.54500100000001</fb>
    <v>8</v>
  </rv>
  <rv s="2">
    <v>23</v>
    <v>6</v>
    <v>87</v>
    <v>7</v>
    <v>0</v>
    <v>Image of Plano, Texas</v>
  </rv>
  <rv s="1">
    <fb>33.049999999999997</fb>
    <v>9</v>
  </rv>
  <rv s="0">
    <v>805306368</v>
    <v>John B. Muns (Mayor)</v>
    <v>4627c163-df7c-7976-dbc5-5761252484d2</v>
    <v>en-CA</v>
    <v>Generic</v>
  </rv>
  <rv s="3">
    <v>21</v>
  </rv>
  <rv s="4">
    <v>https://www.bing.com/search?q=plano+texas&amp;form=skydnc</v>
    <v>Learn more on Bing</v>
  </rv>
  <rv s="1">
    <fb>-96.75</fb>
    <v>9</v>
  </rv>
  <rv s="1">
    <fb>285494</fb>
    <v>8</v>
  </rv>
  <rv s="5">
    <v>#VALUE!</v>
    <v>en-CA</v>
    <v>a7f82efc-acdb-43a6-b31b-b2501c786e7b</v>
    <v>536870912</v>
    <v>1</v>
    <v>88</v>
    <v>2</v>
    <v>Plano, Texas</v>
    <v>4</v>
    <v>5</v>
    <v>Map</v>
    <v>6</v>
    <v>7</v>
    <v>97</v>
    <v>332</v>
    <v>333</v>
    <v>4</v>
    <v>Plano is a city in the U.S. state of Texas. With a population of 285,494 at the 2020 census, it is the ninth most-populous city in Texas, and, respectively, the 72nd most populous city in the United States.</v>
    <v>334</v>
    <v>335</v>
    <v>337</v>
    <v>338</v>
    <v>339</v>
    <v>Plano, Texas</v>
    <v>340</v>
    <v>285</v>
    <v>Plano, Texas</v>
    <v>mdp/vdpid/5107859046493323265</v>
  </rv>
  <rv s="0">
    <v>536870912</v>
    <v>Stamford, Connecticut</v>
    <v>b987c9ae-a0bd-435d-9a00-d8afcde48710</v>
    <v>en-CA</v>
    <v>Map</v>
  </rv>
  <rv s="1">
    <fb>134.754311</fb>
    <v>8</v>
  </rv>
  <rv s="2">
    <v>24</v>
    <v>6</v>
    <v>89</v>
    <v>7</v>
    <v>0</v>
    <v>Image of Stamford, Connecticut</v>
  </rv>
  <rv s="1">
    <fb>41.096666666666998</fb>
    <v>9</v>
  </rv>
  <rv s="0">
    <v>805306368</v>
    <v>Caroline Simmons (Mayor)</v>
    <v>16ebf3e3-df07-2595-9db9-5675d3967845</v>
    <v>en-CA</v>
    <v>Generic</v>
  </rv>
  <rv s="3">
    <v>22</v>
  </rv>
  <rv s="4">
    <v>https://www.bing.com/search?q=stamford+connecticut&amp;form=skydnc</v>
    <v>Learn more on Bing</v>
  </rv>
  <rv s="1">
    <fb>-73.552222222221999</fb>
    <v>9</v>
  </rv>
  <rv s="1">
    <fb>135470</fb>
    <v>8</v>
  </rv>
  <rv s="5">
    <v>#VALUE!</v>
    <v>en-CA</v>
    <v>b987c9ae-a0bd-435d-9a00-d8afcde48710</v>
    <v>536870912</v>
    <v>1</v>
    <v>90</v>
    <v>2</v>
    <v>Stamford, Connecticut</v>
    <v>4</v>
    <v>5</v>
    <v>Map</v>
    <v>6</v>
    <v>7</v>
    <v>62</v>
    <v>158</v>
    <v>343</v>
    <v>4</v>
    <v>Stamford is a city in Fairfield County, Connecticut, 34 miles outside of New York City. It is the largest city in the Western Connecticut Planning Region, and Connecticut's second-most populous city, behind Bridgeport. With a population of ...</v>
    <v>344</v>
    <v>345</v>
    <v>347</v>
    <v>348</v>
    <v>349</v>
    <v>Stamford, Connecticut</v>
    <v>350</v>
    <v>12</v>
    <v>Stamford, Connecticut</v>
    <v>mdp/vdpid/5487340236142804993</v>
  </rv>
  <rv s="0">
    <v>536870912</v>
    <v>Dallas</v>
    <v>9ed1db6b-57c5-47b3-9d50-8fb2a9898b35</v>
    <v>en-CA</v>
    <v>Map</v>
  </rv>
  <rv s="1">
    <fb>996.57762500000001</fb>
    <v>8</v>
  </rv>
  <rv s="2">
    <v>25</v>
    <v>6</v>
    <v>91</v>
    <v>7</v>
    <v>0</v>
    <v>Image of Dallas</v>
  </rv>
  <rv s="1">
    <fb>32.779166666667003</fb>
    <v>9</v>
  </rv>
  <rv s="0">
    <v>805306368</v>
    <v>Eric Johnson (Mayor)</v>
    <v>3c485188-f503-86a2-2457-c5ca819fd997</v>
    <v>en-CA</v>
    <v>Generic</v>
  </rv>
  <rv s="3">
    <v>23</v>
  </rv>
  <rv s="4">
    <v>https://www.bing.com/search?q=dallas+texas&amp;form=skydnc</v>
    <v>Learn more on Bing</v>
  </rv>
  <rv s="1">
    <fb>-96.808888888889001</fb>
    <v>9</v>
  </rv>
  <rv s="1">
    <fb>1304379</fb>
    <v>8</v>
  </rv>
  <rv s="9">
    <v>#VALUE!</v>
    <v>en-CA</v>
    <v>9ed1db6b-57c5-47b3-9d50-8fb2a9898b35</v>
    <v>536870912</v>
    <v>1</v>
    <v>92</v>
    <v>50</v>
    <v>Dallas</v>
    <v>4</v>
    <v>5</v>
    <v>Map</v>
    <v>6</v>
    <v>7</v>
    <v>97</v>
    <v>332</v>
    <v>353</v>
    <v>4</v>
    <v>Dallas is a city in the U.S. state of Texas and the most populous city in the Dallas–Fort Worth metroplex, the most populous metropolitan area in Texas and the 4th most populous metropolitan area in the United States at 7.5 million people. It is ...</v>
    <v>354</v>
    <v>355</v>
    <v>357</v>
    <v>358</v>
    <v>359</v>
    <v>Dallas</v>
    <v>360</v>
    <v>Dallas</v>
    <v>mdp/vdpid/5107863898514522114</v>
  </rv>
  <rv s="0">
    <v>536870912</v>
    <v>Latham, New York</v>
    <v>3d04df66-a7f6-47ca-d549-857aa865ab36</v>
    <v>en-CA</v>
    <v>Map</v>
  </rv>
  <rv s="0">
    <v>536870912</v>
    <v>Albany County, New York</v>
    <v>a3061797-713e-5786-6c4e-9e48da278578</v>
    <v>en-CA</v>
    <v>Map</v>
  </rv>
  <rv s="0">
    <v>536870912</v>
    <v>Colonie, New York</v>
    <v>74e91988-e9be-2d1d-ae05-c895db1656c2</v>
    <v>en-CA</v>
    <v>Map</v>
  </rv>
  <rv s="1">
    <fb>42.746899999999997</fb>
    <v>9</v>
  </rv>
  <rv s="4">
    <v>https://www.bing.com/search?q=latham+new+york&amp;form=skydnc</v>
    <v>Learn more on Bing</v>
  </rv>
  <rv s="1">
    <fb>-73.758899999999997</fb>
    <v>9</v>
  </rv>
  <rv s="1">
    <fb>13680</fb>
    <v>8</v>
  </rv>
  <rv s="13">
    <v>#VALUE!</v>
    <v>en-CA</v>
    <v>3d04df66-a7f6-47ca-d549-857aa865ab36</v>
    <v>536870912</v>
    <v>1</v>
    <v>94</v>
    <v>95</v>
    <v>Latham, New York</v>
    <v>4</v>
    <v>96</v>
    <v>Map</v>
    <v>6</v>
    <v>97</v>
    <v>363</v>
    <v>364</v>
    <v>186</v>
    <v>Latham is a hamlet and census-designated place in Albany County, New York, United States. It is located along U.S. Route 9 in the town of Colonie, a dense suburb north of Albany. In addition, Interstate 87 and U.S. Route 7 also run through the ...</v>
    <v>365</v>
    <v>366</v>
    <v>367</v>
    <v>Latham, New York</v>
    <v>368</v>
    <v>12</v>
    <v>Latham, New York</v>
    <v>mdp/vdpid/5486476637304258561</v>
  </rv>
  <rv s="0">
    <v>536870912</v>
    <v>Darien, Connecticut</v>
    <v>8ed4b6af-482d-ef05-b370-fdbb693cff04</v>
    <v>en-CA</v>
    <v>Map</v>
  </rv>
  <rv s="1">
    <fb>60.605721781900002</fb>
    <v>8</v>
  </rv>
  <rv s="2">
    <v>26</v>
    <v>6</v>
    <v>99</v>
    <v>7</v>
    <v>0</v>
    <v>Image of Darien, Connecticut</v>
  </rv>
  <rv s="1">
    <fb>41.078710000000001</fb>
    <v>9</v>
  </rv>
  <rv s="4">
    <v>https://www.bing.com/search?q=darien+connecticut&amp;form=skydnc</v>
    <v>Learn more on Bing</v>
  </rv>
  <rv s="1">
    <fb>-73.469290000000001</fb>
    <v>9</v>
  </rv>
  <rv s="1">
    <fb>21499</fb>
    <v>8</v>
  </rv>
  <rv s="3">
    <v>24</v>
  </rv>
  <rv s="12">
    <v>#VALUE!</v>
    <v>en-CA</v>
    <v>8ed4b6af-482d-ef05-b370-fdbb693cff04</v>
    <v>536870912</v>
    <v>1</v>
    <v>100</v>
    <v>76</v>
    <v>Darien, Connecticut</v>
    <v>4</v>
    <v>5</v>
    <v>Map</v>
    <v>6</v>
    <v>7</v>
    <v>62</v>
    <v>195</v>
    <v>371</v>
    <v>186</v>
    <v>Darien is a coastal town in Fairfield County, Connecticut, United States. With a population of 21,499 and a land area of just under 13 square miles, it is the smallest town on Connecticut's Gold Coast.</v>
    <v>372</v>
    <v>373</v>
    <v>374</v>
    <v>375</v>
    <v>Darien, Connecticut</v>
    <v>376</v>
    <v>377</v>
    <v>Darien, Connecticut</v>
    <v>mdp/vdpid/5487347412328513537</v>
  </rv>
</rvData>
</file>

<file path=xl/richData/rdrichvaluestructure.xml><?xml version="1.0" encoding="utf-8"?>
<rvStructures xmlns="http://schemas.microsoft.com/office/spreadsheetml/2017/richdata" count="14">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rgest city"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Country/region" t="r"/>
    <k n="Description" t="s"/>
    <k n="Latitude" t="r"/>
    <k n="LearnMoreOnLink" t="r"/>
    <k n="Longitude" t="r"/>
    <k n="Name" t="s"/>
    <k n="Population" t="r"/>
    <k n="Time zone(s)" t="r"/>
    <k n="UniqueName" t="s"/>
    <k n="VDPID/VSID" t="s"/>
  </s>
</rvStructures>
</file>

<file path=xl/richData/rdsupportingpropertybag.xml><?xml version="1.0" encoding="utf-8"?>
<supportingPropertyBags xmlns="http://schemas.microsoft.com/office/spreadsheetml/2017/richdata2">
  <spbArrays count="9">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1 (State/province/other)</v>
      <v t="s">Country/region</v>
      <v t="s">_SubLabel</v>
      <v t="s">Population</v>
      <v t="s">Area</v>
      <v t="s">Largest city</v>
      <v t="s">_Flags</v>
      <v t="s">VDPID/VSID</v>
      <v t="s">UniqueName</v>
      <v t="s">_DisplayString</v>
      <v t="s">LearnMoreOnLink</v>
      <v t="s">Time zone(s)</v>
      <v t="s">Image</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Area</v>
      <v t="s">_Flags</v>
      <v t="s">VDPID/VSID</v>
      <v t="s">UniqueName</v>
      <v t="s">_DisplayString</v>
      <v t="s">LearnMoreOnLink</v>
      <v t="s">Time zone(s)</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Latitude</v>
      <v t="s">Longitude</v>
      <v t="s">Time zone(s)</v>
      <v t="s">_Flags</v>
      <v t="s">VDPID/VSID</v>
      <v t="s">UniqueName</v>
      <v t="s">_DisplayString</v>
      <v t="s">LearnMoreOnLink</v>
      <v t="s">Description</v>
    </a>
  </spbArrays>
  <spbData count="101">
    <spb s="0">
      <v xml:space="preserve">Wikipedia	</v>
      <v xml:space="preserve">CC BY-SA 3.0	</v>
      <v xml:space="preserve">https://en.wikipedia.org/wiki/White_Plains,_New_York	</v>
      <v xml:space="preserve">https://creativecommons.org/licenses/by-sa/3.0	</v>
    </spb>
    <spb s="1">
      <v>0</v>
      <v>0</v>
      <v>0</v>
      <v>0</v>
      <v>0</v>
      <v>0</v>
      <v>0</v>
      <v>0</v>
      <v>0</v>
      <v>0</v>
    </spb>
    <spb s="2">
      <v>0</v>
      <v>Name</v>
      <v>LearnMoreOnLink</v>
    </spb>
    <spb s="3">
      <v>0</v>
      <v>0</v>
      <v>0</v>
    </spb>
    <spb s="4">
      <v>3</v>
      <v>3</v>
      <v>3</v>
    </spb>
    <spb s="5">
      <v>1</v>
      <v>2</v>
    </spb>
    <spb s="6">
      <v>https://www.bing.com</v>
      <v>https://www.bing.com/th?id=Ga%5Cbing_yt.png&amp;w=100&amp;h=40&amp;c=0&amp;pid=0.1</v>
      <v>Powered by Bing</v>
    </spb>
    <spb s="7">
      <v>square km</v>
      <v>2020</v>
    </spb>
    <spb s="8">
      <v>3</v>
    </spb>
    <spb s="8">
      <v>4</v>
    </spb>
    <spb s="0">
      <v xml:space="preserve">data.worldbank.org	</v>
      <v xml:space="preserve">	</v>
      <v xml:space="preserve">http://data.worldbank.org/indicator/FP.CPI.TOTL	</v>
      <v xml:space="preserve">	</v>
    </spb>
    <spb s="0">
      <v xml:space="preserve">Wikipedia	US Census	US Census	</v>
      <v xml:space="preserve">CC-BY-SA			</v>
      <v xml:space="preserve">http://en.wikipedia.org/wiki/United_States	https://www.census.gov/popest/data/state/asrh/2014/files/SC-EST2014-AGESEX-CIV.csv	http://www.census.gov/quickfacts/table/VET605214/	</v>
      <v xml:space="preserve">http://creativecommons.org/licenses/by-sa/3.0/			</v>
    </spb>
    <spb s="0">
      <v xml:space="preserve">Wikipedia	</v>
      <v xml:space="preserve">CC BY-SA 3.0	</v>
      <v xml:space="preserve">https://en.wikipedia.org/wiki/United_States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http://en.wikipedia.org/wiki/United_States	</v>
      <v xml:space="preserve">http://creativecommons.org/licenses/by-sa/3.0/	</v>
    </spb>
    <spb s="0">
      <v xml:space="preserve">data.worldbank.org	</v>
      <v xml:space="preserve">	</v>
      <v xml:space="preserve">http://data.worldbank.org/indicator/SP.DYN.TFRT.IN	</v>
      <v xml:space="preserve">	</v>
    </spb>
    <spb s="0">
      <v xml:space="preserve">US Census	</v>
      <v xml:space="preserve">	</v>
      <v xml:space="preserve">https://www.census.gov/popest/data/state/asrh/2014/files/SC-EST2014-AGESEX-CIV.csv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9">
      <v>10</v>
      <v>11</v>
      <v>12</v>
      <v>12</v>
      <v>13</v>
      <v>12</v>
      <v>12</v>
      <v>12</v>
      <v>14</v>
      <v>12</v>
      <v>12</v>
      <v>14</v>
      <v>12</v>
      <v>12</v>
      <v>15</v>
      <v>11</v>
      <v>16</v>
      <v>17</v>
      <v>12</v>
      <v>16</v>
      <v>18</v>
      <v>19</v>
      <v>20</v>
      <v>16</v>
      <v>12</v>
      <v>16</v>
      <v>21</v>
      <v>22</v>
      <v>23</v>
      <v>24</v>
      <v>16</v>
      <v>11</v>
      <v>16</v>
      <v>16</v>
      <v>16</v>
      <v>16</v>
      <v>16</v>
      <v>16</v>
      <v>16</v>
      <v>16</v>
      <v>16</v>
      <v>16</v>
      <v>25</v>
    </spb>
    <spb s="2">
      <v>1</v>
      <v>Name</v>
      <v>LearnMoreOnLink</v>
    </spb>
    <spb s="10">
      <v>2019</v>
      <v>2019</v>
      <v>square km</v>
      <v>per thousand (2018)</v>
      <v>2022</v>
      <v>2022</v>
      <v>2018</v>
      <v>per liter (2016)</v>
      <v>2019</v>
      <v>years (2018)</v>
      <v>2019</v>
      <v>per thousand (2018)</v>
      <v>2019</v>
      <v>2017</v>
      <v>2016</v>
      <v>2020</v>
      <v>2016</v>
      <v>2017</v>
      <v>kilotons per year (2016)</v>
      <v>deaths per 100,000 (2017)</v>
      <v>kWh (2014)</v>
      <v>2015</v>
      <v>2018</v>
      <v>2016</v>
      <v>2016</v>
      <v>2016</v>
      <v>2016</v>
      <v>2016</v>
      <v>2015</v>
      <v>2016</v>
      <v>2016</v>
      <v>2017</v>
      <v>2017</v>
      <v>2019</v>
    </spb>
    <spb s="8">
      <v>5</v>
    </spb>
    <spb s="8">
      <v>6</v>
    </spb>
    <spb s="8">
      <v>7</v>
    </spb>
    <spb s="8">
      <v>8</v>
    </spb>
    <spb s="8">
      <v>9</v>
    </spb>
    <spb s="8">
      <v>10</v>
    </spb>
    <spb s="8">
      <v>11</v>
    </spb>
    <spb s="8">
      <v>12</v>
    </spb>
    <spb s="0">
      <v xml:space="preserve">Wikipedia	</v>
      <v xml:space="preserve">CC BY-SA 3.0	</v>
      <v xml:space="preserve">https://en.wikipedia.org/wiki/New_York_City	</v>
      <v xml:space="preserve">https://creativecommons.org/licenses/by-sa/3.0	</v>
    </spb>
    <spb s="11">
      <v>37</v>
      <v>37</v>
      <v>37</v>
      <v>37</v>
      <v>37</v>
      <v>37</v>
      <v>37</v>
      <v>37</v>
      <v>37</v>
    </spb>
    <spb s="2">
      <v>2</v>
      <v>Name</v>
      <v>LearnMoreOnLink</v>
    </spb>
    <spb s="0">
      <v xml:space="preserve">Wikipedia	</v>
      <v xml:space="preserve">CC BY-SA 3.0	</v>
      <v xml:space="preserve">https://en.wikipedia.org/wiki/Stony_Brook,_New_York	</v>
      <v xml:space="preserve">https://creativecommons.org/licenses/by-sa/3.0	</v>
    </spb>
    <spb s="1">
      <v>40</v>
      <v>40</v>
      <v>40</v>
      <v>40</v>
      <v>40</v>
      <v>40</v>
      <v>40</v>
      <v>40</v>
      <v>40</v>
      <v>40</v>
    </spb>
    <spb s="2">
      <v>3</v>
      <v>Name</v>
      <v>LearnMoreOnLink</v>
    </spb>
    <spb s="0">
      <v xml:space="preserve">Wikipedia	</v>
      <v xml:space="preserve">CC BY-SA 3.0	</v>
      <v xml:space="preserve">https://en.wikipedia.org/wiki/East_Syracuse,_New_York	</v>
      <v xml:space="preserve">https://creativecommons.org/licenses/by-sa/3.0	</v>
    </spb>
    <spb s="1">
      <v>43</v>
      <v>43</v>
      <v>43</v>
      <v>43</v>
      <v>43</v>
      <v>43</v>
      <v>43</v>
      <v>43</v>
      <v>43</v>
      <v>43</v>
    </spb>
    <spb s="0">
      <v xml:space="preserve">Wikipedia	</v>
      <v xml:space="preserve">CC BY-SA 3.0	</v>
      <v xml:space="preserve">https://en.wikipedia.org/wiki/Atlanta	</v>
      <v xml:space="preserve">https://creativecommons.org/licenses/by-sa/3.0	</v>
    </spb>
    <spb s="1">
      <v>45</v>
      <v>45</v>
      <v>45</v>
      <v>45</v>
      <v>45</v>
      <v>45</v>
      <v>45</v>
      <v>45</v>
      <v>45</v>
      <v>45</v>
    </spb>
    <spb s="7">
      <v>square km</v>
      <v>2023</v>
    </spb>
    <spb s="0">
      <v xml:space="preserve">Wikipedia	</v>
      <v xml:space="preserve">CC BY-SA 3.0	</v>
      <v xml:space="preserve">https://en.wikipedia.org/wiki/Norwalk,_Connecticut	</v>
      <v xml:space="preserve">https://creativecommons.org/licenses/by-sa/3.0	</v>
    </spb>
    <spb s="1">
      <v>48</v>
      <v>48</v>
      <v>48</v>
      <v>48</v>
      <v>48</v>
      <v>48</v>
      <v>48</v>
      <v>48</v>
      <v>48</v>
      <v>48</v>
    </spb>
    <spb s="2">
      <v>4</v>
      <v>Name</v>
      <v>LearnMoreOnLink</v>
    </spb>
    <spb s="0">
      <v xml:space="preserve">Wikipedia	</v>
      <v xml:space="preserve">CC BY-SA 3.0	</v>
      <v xml:space="preserve">https://en.wikipedia.org/wiki/Fairfield_County,_Connecticut	</v>
      <v xml:space="preserve">https://creativecommons.org/licenses/by-sa/3.0	</v>
    </spb>
    <spb s="12">
      <v>51</v>
      <v>51</v>
      <v>51</v>
      <v>51</v>
      <v>51</v>
      <v>51</v>
      <v>51</v>
      <v>51</v>
    </spb>
    <spb s="2">
      <v>5</v>
      <v>Name</v>
      <v>LearnMoreOnLink</v>
    </spb>
    <spb s="13">
      <v>3</v>
      <v>3</v>
      <v>3</v>
      <v>3</v>
    </spb>
    <spb s="0">
      <v xml:space="preserve">Wikipedia	</v>
      <v xml:space="preserve">CC BY-SA 3.0	</v>
      <v xml:space="preserve">https://en.wikipedia.org/wiki/Chantilly,_Virginia	</v>
      <v xml:space="preserve">https://creativecommons.org/licenses/by-sa/3.0	</v>
    </spb>
    <spb s="1">
      <v>55</v>
      <v>55</v>
      <v>55</v>
      <v>55</v>
      <v>55</v>
      <v>55</v>
      <v>55</v>
      <v>55</v>
      <v>55</v>
      <v>55</v>
    </spb>
    <spb s="0">
      <v xml:space="preserve">Wikipedia	</v>
      <v xml:space="preserve">CC BY-SA 3.0	</v>
      <v xml:space="preserve">https://en.wikipedia.org/wiki/Pittsburgh	</v>
      <v xml:space="preserve">https://creativecommons.org/licenses/by-sa/3.0	</v>
    </spb>
    <spb s="1">
      <v>57</v>
      <v>57</v>
      <v>57</v>
      <v>57</v>
      <v>57</v>
      <v>57</v>
      <v>57</v>
      <v>57</v>
      <v>57</v>
      <v>57</v>
    </spb>
    <spb s="0">
      <v xml:space="preserve">Wikipedia	</v>
      <v xml:space="preserve">CC BY-SA 3.0	</v>
      <v xml:space="preserve">https://en.wikipedia.org/wiki/Enfield,_Connecticut	</v>
      <v xml:space="preserve">https://creativecommons.org/licenses/by-sa/3.0	</v>
    </spb>
    <spb s="1">
      <v>59</v>
      <v>59</v>
      <v>59</v>
      <v>59</v>
      <v>59</v>
      <v>59</v>
      <v>59</v>
      <v>59</v>
      <v>59</v>
      <v>59</v>
    </spb>
    <spb s="0">
      <v xml:space="preserve">Wikipedia	</v>
      <v xml:space="preserve">CC BY-SA 3.0	</v>
      <v xml:space="preserve">https://en.wikipedia.org/wiki/Rochester,_New_York	</v>
      <v xml:space="preserve">https://creativecommons.org/licenses/by-sa/3.0	</v>
    </spb>
    <spb s="1">
      <v>61</v>
      <v>61</v>
      <v>61</v>
      <v>61</v>
      <v>61</v>
      <v>61</v>
      <v>61</v>
      <v>61</v>
      <v>61</v>
      <v>61</v>
    </spb>
    <spb s="0">
      <v xml:space="preserve">Wikipedia	</v>
      <v xml:space="preserve">CC BY-SA 3.0	</v>
      <v xml:space="preserve">https://en.wikipedia.org/wiki/Newark,_New_Jersey	</v>
      <v xml:space="preserve">https://creativecommons.org/licenses/by-sa/3.0	</v>
    </spb>
    <spb s="1">
      <v>63</v>
      <v>63</v>
      <v>63</v>
      <v>63</v>
      <v>63</v>
      <v>63</v>
      <v>63</v>
      <v>63</v>
      <v>63</v>
      <v>63</v>
    </spb>
    <spb s="0">
      <v xml:space="preserve">Wikipedia	</v>
      <v xml:space="preserve">CC BY-SA 3.0	</v>
      <v xml:space="preserve">https://en.wikipedia.org/wiki/Lodi,_New_Jersey	</v>
      <v xml:space="preserve">https://creativecommons.org/licenses/by-sa/3.0	</v>
    </spb>
    <spb s="1">
      <v>65</v>
      <v>65</v>
      <v>65</v>
      <v>65</v>
      <v>65</v>
      <v>65</v>
      <v>65</v>
      <v>65</v>
      <v>65</v>
      <v>65</v>
    </spb>
    <spb s="0">
      <v xml:space="preserve">Wikipedia	</v>
      <v xml:space="preserve">CC BY-SA 3.0	</v>
      <v xml:space="preserve">https://en.wikipedia.org/wiki/Boston	</v>
      <v xml:space="preserve">https://creativecommons.org/licenses/by-sa/3.0	</v>
    </spb>
    <spb s="1">
      <v>67</v>
      <v>67</v>
      <v>67</v>
      <v>67</v>
      <v>67</v>
      <v>67</v>
      <v>67</v>
      <v>67</v>
      <v>67</v>
      <v>67</v>
    </spb>
    <spb s="0">
      <v xml:space="preserve">Wikipedia	</v>
      <v xml:space="preserve">CC BY-SA 3.0	</v>
      <v xml:space="preserve">https://en.wikipedia.org/wiki/Troy,_New_York	</v>
      <v xml:space="preserve">https://creativecommons.org/licenses/by-sa/3.0	</v>
    </spb>
    <spb s="1">
      <v>69</v>
      <v>69</v>
      <v>69</v>
      <v>69</v>
      <v>69</v>
      <v>69</v>
      <v>69</v>
      <v>69</v>
      <v>69</v>
      <v>69</v>
    </spb>
    <spb s="0">
      <v xml:space="preserve">Wikipedia	</v>
      <v xml:space="preserve">CC BY-SA 3.0	</v>
      <v xml:space="preserve">https://en.wikipedia.org/wiki/Alexandria,_Virginia	</v>
      <v xml:space="preserve">https://creativecommons.org/licenses/by-sa/3.0	</v>
    </spb>
    <spb s="14">
      <v>71</v>
      <v>71</v>
      <v>71</v>
      <v>71</v>
      <v>71</v>
      <v>71</v>
      <v>71</v>
    </spb>
    <spb s="2">
      <v>6</v>
      <v>Name</v>
      <v>LearnMoreOnLink</v>
    </spb>
    <spb s="0">
      <v xml:space="preserve">Wikipedia	</v>
      <v xml:space="preserve">CC BY-SA 3.0	</v>
      <v xml:space="preserve">https://en.wikipedia.org/wiki/The_Bronx	</v>
      <v xml:space="preserve">https://creativecommons.org/licenses/by-sa/3.0	</v>
    </spb>
    <spb s="1">
      <v>74</v>
      <v>74</v>
      <v>74</v>
      <v>74</v>
      <v>74</v>
      <v>74</v>
      <v>74</v>
      <v>74</v>
      <v>74</v>
      <v>74</v>
    </spb>
    <spb s="2">
      <v>7</v>
      <v>Name</v>
      <v>LearnMoreOnLink</v>
    </spb>
    <spb s="0">
      <v xml:space="preserve">Wikipedia	</v>
      <v xml:space="preserve">CC BY-SA 3.0	</v>
      <v xml:space="preserve">https://en.wikipedia.org/wiki/Houston	</v>
      <v xml:space="preserve">https://creativecommons.org/licenses/by-sa/3.0	</v>
    </spb>
    <spb s="1">
      <v>77</v>
      <v>77</v>
      <v>77</v>
      <v>77</v>
      <v>77</v>
      <v>77</v>
      <v>77</v>
      <v>77</v>
      <v>77</v>
      <v>77</v>
    </spb>
    <spb s="0">
      <v xml:space="preserve">Wikipedia	</v>
      <v xml:space="preserve">CC BY-SA 3.0	</v>
      <v xml:space="preserve">https://en.wikipedia.org/wiki/Columbia,_South_Carolina	</v>
      <v xml:space="preserve">https://creativecommons.org/licenses/by-sa/3.0	</v>
    </spb>
    <spb s="1">
      <v>79</v>
      <v>79</v>
      <v>79</v>
      <v>79</v>
      <v>79</v>
      <v>79</v>
      <v>79</v>
      <v>79</v>
      <v>79</v>
      <v>79</v>
    </spb>
    <spb s="0">
      <v xml:space="preserve">Wikipedia	</v>
      <v xml:space="preserve">CC BY-SA 3.0	</v>
      <v xml:space="preserve">https://en.wikipedia.org/wiki/Nashville,_Tennessee	</v>
      <v xml:space="preserve">https://creativecommons.org/licenses/by-sa/3.0	</v>
    </spb>
    <spb s="1">
      <v>81</v>
      <v>81</v>
      <v>81</v>
      <v>81</v>
      <v>81</v>
      <v>81</v>
      <v>81</v>
      <v>81</v>
      <v>81</v>
      <v>81</v>
    </spb>
    <spb s="0">
      <v xml:space="preserve">Wikipedia	</v>
      <v xml:space="preserve">CC BY-SA 3.0	</v>
      <v xml:space="preserve">https://en.wikipedia.org/wiki/Philadelphia	</v>
      <v xml:space="preserve">https://creativecommons.org/licenses/by-sa/3.0	</v>
    </spb>
    <spb s="1">
      <v>83</v>
      <v>83</v>
      <v>83</v>
      <v>83</v>
      <v>83</v>
      <v>83</v>
      <v>83</v>
      <v>83</v>
      <v>83</v>
      <v>83</v>
    </spb>
    <spb s="0">
      <v xml:space="preserve">Wikipedia	</v>
      <v xml:space="preserve">CC BY-SA 3.0	</v>
      <v xml:space="preserve">https://en.wikipedia.org/wiki/Charleston,_South_Carolina	</v>
      <v xml:space="preserve">https://creativecommons.org/licenses/by-sa/3.0	</v>
    </spb>
    <spb s="1">
      <v>85</v>
      <v>85</v>
      <v>85</v>
      <v>85</v>
      <v>85</v>
      <v>85</v>
      <v>85</v>
      <v>85</v>
      <v>85</v>
      <v>85</v>
    </spb>
    <spb s="0">
      <v xml:space="preserve">Wikipedia	</v>
      <v xml:space="preserve">CC BY-SA 3.0	</v>
      <v xml:space="preserve">https://en.wikipedia.org/wiki/Plano,_Texas	</v>
      <v xml:space="preserve">https://creativecommons.org/licenses/by-sa/3.0	</v>
    </spb>
    <spb s="1">
      <v>87</v>
      <v>87</v>
      <v>87</v>
      <v>87</v>
      <v>87</v>
      <v>87</v>
      <v>87</v>
      <v>87</v>
      <v>87</v>
      <v>87</v>
    </spb>
    <spb s="0">
      <v xml:space="preserve">Wikipedia	</v>
      <v xml:space="preserve">CC BY-SA 3.0	</v>
      <v xml:space="preserve">https://en.wikipedia.org/wiki/Stamford,_Connecticut	</v>
      <v xml:space="preserve">https://creativecommons.org/licenses/by-sa/3.0	</v>
    </spb>
    <spb s="1">
      <v>89</v>
      <v>89</v>
      <v>89</v>
      <v>89</v>
      <v>89</v>
      <v>89</v>
      <v>89</v>
      <v>89</v>
      <v>89</v>
      <v>89</v>
    </spb>
    <spb s="0">
      <v xml:space="preserve">Wikipedia	</v>
      <v xml:space="preserve">CC BY-SA 3.0	</v>
      <v xml:space="preserve">https://en.wikipedia.org/wiki/Dallas	</v>
      <v xml:space="preserve">https://creativecommons.org/licenses/by-sa/3.0	</v>
    </spb>
    <spb s="1">
      <v>91</v>
      <v>91</v>
      <v>91</v>
      <v>91</v>
      <v>91</v>
      <v>91</v>
      <v>91</v>
      <v>91</v>
      <v>91</v>
      <v>91</v>
    </spb>
    <spb s="0">
      <v xml:space="preserve">Wikipedia	</v>
      <v xml:space="preserve">CC BY-SA 3.0	</v>
      <v xml:space="preserve">https://en.wikipedia.org/wiki/Latham,_New_York	</v>
      <v xml:space="preserve">https://creativecommons.org/licenses/by-sa/3.0	</v>
    </spb>
    <spb s="15">
      <v>93</v>
      <v>93</v>
      <v>93</v>
      <v>93</v>
      <v>93</v>
      <v>93</v>
      <v>93</v>
      <v>93</v>
      <v>93</v>
    </spb>
    <spb s="2">
      <v>8</v>
      <v>Name</v>
      <v>LearnMoreOnLink</v>
    </spb>
    <spb s="16">
      <v>1</v>
    </spb>
    <spb s="17">
      <v>2020</v>
    </spb>
    <spb s="0">
      <v xml:space="preserve">Wikipedia	</v>
      <v xml:space="preserve">CC-BY-SA	</v>
      <v xml:space="preserve">http://en.wikipedia.org/wiki/Darien,_Connecticut	</v>
      <v xml:space="preserve">http://creativecommons.org/licenses/by-sa/3.0/	</v>
    </spb>
    <spb s="0">
      <v xml:space="preserve">Wikipedia	</v>
      <v xml:space="preserve">CC BY-SA 3.0	</v>
      <v xml:space="preserve">https://en.wikipedia.org/wiki/Darien,_Connecticut	</v>
      <v xml:space="preserve">https://creativecommons.org/licenses/by-sa/3.0	</v>
    </spb>
    <spb s="1">
      <v>98</v>
      <v>99</v>
      <v>99</v>
      <v>99</v>
      <v>99</v>
      <v>99</v>
      <v>99</v>
      <v>99</v>
      <v>99</v>
      <v>99</v>
    </spb>
  </spbData>
</supportingPropertyBags>
</file>

<file path=xl/richData/rdsupportingpropertybagstructure.xml><?xml version="1.0" encoding="utf-8"?>
<spbStructures xmlns="http://schemas.microsoft.com/office/spreadsheetml/2017/richdata2" count="18">
  <s>
    <k n="SourceText" t="s"/>
    <k n="LicenseText" t="s"/>
    <k n="SourceAddress" t="s"/>
    <k n="LicenseAddress" t="s"/>
  </s>
  <s>
    <k n="Area" t="spb"/>
    <k n="Name" t="spb"/>
    <k n="Latitude" t="spb"/>
    <k n="Longitude" t="spb"/>
    <k n="Population" t="spb"/>
    <k n="UniqueName" t="spb"/>
    <k n="Description" t="spb"/>
    <k n="Country/region" t="spb"/>
    <k n="Admin Division 1 (State/province/other)" t="spb"/>
    <k n="Admin Division 2 (County/district/other)"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CPI" t="spb"/>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Area" t="spb"/>
    <k n="Name" t="spb"/>
    <k n="Latitude" t="spb"/>
    <k n="Longitude" t="spb"/>
    <k n="Population" t="spb"/>
    <k n="UniqueName" t="spb"/>
    <k n="Description" t="spb"/>
    <k n="Country/region" t="spb"/>
    <k n="Admin Division 1 (State/province/other)" t="spb"/>
  </s>
  <s>
    <k n="Area" t="spb"/>
    <k n="Name" t="spb"/>
    <k n="Population" t="spb"/>
    <k n="UniqueName" t="spb"/>
    <k n="Description" t="spb"/>
    <k n="Largest city" t="spb"/>
    <k n="Country/region" t="spb"/>
    <k n="Admin Division 1 (State/province/other)" t="spb"/>
  </s>
  <s>
    <k n="UniqueName" t="spb"/>
    <k n="VDPID/VSID" t="spb"/>
    <k n="Time zone(s)" t="spb"/>
    <k n="LearnMoreOnLink" t="spb"/>
  </s>
  <s>
    <k n="Area" t="spb"/>
    <k n="Name" t="spb"/>
    <k n="Population" t="spb"/>
    <k n="UniqueName" t="spb"/>
    <k n="Description" t="spb"/>
    <k n="Country/region" t="spb"/>
    <k n="Admin Division 1 (State/province/other)" t="spb"/>
  </s>
  <s>
    <k n="Name" t="spb"/>
    <k n="Latitude" t="spb"/>
    <k n="Longitude" t="spb"/>
    <k n="Population" t="spb"/>
    <k n="UniqueName" t="spb"/>
    <k n="Description" t="spb"/>
    <k n="Country/region" t="spb"/>
    <k n="Admin Division 1 (State/province/other)" t="spb"/>
    <k n="Admin Division 2 (County/district/other)" t="spb"/>
  </s>
  <s>
    <k n="Name" t="i"/>
  </s>
  <s>
    <k n="Population"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TitleField" t="b"/>
    <rPr n="IsHeroField" t="b"/>
    <rPr n="NumberFormat" t="s"/>
  </richProperties>
  <richStyles>
    <rSty>
      <rpv i="0">1</rpv>
    </rSty>
    <rSty>
      <rpv i="1">1</rpv>
    </rSty>
    <rSty dxfid="0">
      <rpv i="2">#,##0</rpv>
    </rSty>
    <rSty dxfid="1">
      <rpv i="2">0.0000</rpv>
    </rSty>
    <rSty dxfid="3">
      <rpv i="2">0.0%</rpv>
    </rSty>
    <rSty dxfid="2">
      <rpv i="2">0.00</rpv>
    </rSty>
    <rSty dxfid="5">
      <rpv i="2">0</rpv>
    </rSty>
    <rSty dxfid="4">
      <rpv i="2">#,##0.00</rpv>
    </rSty>
    <rSty dxfid="1">
      <rpv i="2">0.0</rpv>
    </rSty>
    <rSty dxfid="1">
      <rpv i="2">_([$$-en-US]* #,##0.00_);_([$$-en-US]* (#,##0.00);_([$$-en-US]* "-"??_);_(@_)</rpv>
    </rSty>
    <rSty dxfid="1">
      <rpv i="2">_([$$-en-US]* #,##0_);_([$$-en-US]* (#,##0);_([$$-en-US]* "-"_);_(@_)</rpv>
    </rSty>
    <rSty dxfid="3"/>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1B2F37-883F-4820-AEF1-D8411F68DE58}" name="ApplicationTracker" displayName="ApplicationTracker" ref="A2:AA58" totalsRowShown="0">
  <autoFilter ref="A2:AA58" xr:uid="{6F1B2F37-883F-4820-AEF1-D8411F68DE58}"/>
  <sortState xmlns:xlrd2="http://schemas.microsoft.com/office/spreadsheetml/2017/richdata2" ref="A3:AA58">
    <sortCondition ref="E3:E57" customList="Accepted,Interviewing,In Review,Applied,Rejected,Dismissed"/>
    <sortCondition descending="1" ref="W3:W57"/>
    <sortCondition descending="1" ref="A3:A57"/>
    <sortCondition descending="1" ref="X3:X57"/>
  </sortState>
  <tableColumns count="27">
    <tableColumn id="1" xr3:uid="{C24DAC07-EFF5-4F6C-AA46-190D9F2FB6DA}" name="Date" dataDxfId="30"/>
    <tableColumn id="22" xr3:uid="{43A3F4DD-E378-4D44-8DE3-D4509C4FBC1B}" name="Posted" dataDxfId="29"/>
    <tableColumn id="23" xr3:uid="{23F670CE-E2A2-4B93-919F-4D4F34639431}" name="Since Post" dataDxfId="13">
      <calculatedColumnFormula>IF(ISBLANK(ApplicationTracker[[#This Row],[Posted]]),"Unknown",TODAY()-ApplicationTracker[[#This Row],[Posted]])</calculatedColumnFormula>
    </tableColumn>
    <tableColumn id="24" xr3:uid="{4950B2CC-D428-48D6-BDEE-819672B7808A}" name="Since App" dataDxfId="28">
      <calculatedColumnFormula>TODAY()-ApplicationTracker[[#This Row],[Date]]</calculatedColumnFormula>
    </tableColumn>
    <tableColumn id="2" xr3:uid="{FF494408-FD60-460E-B108-278CEDAD2A55}" name="Status"/>
    <tableColumn id="3" xr3:uid="{E67969B7-8C2B-4329-BF0B-DFC2203C8A66}" name="Job Title"/>
    <tableColumn id="4" xr3:uid="{FDD7F1EE-9BA8-452C-B3C1-1871BF38EB6C}" name="Company"/>
    <tableColumn id="5" xr3:uid="{ED88CCE7-14F3-4D4E-A4C7-E26A4182F876}" name="Office"/>
    <tableColumn id="6" xr3:uid="{1804ED6F-B6FF-461D-A65F-4B080BC83071}" name="Location"/>
    <tableColumn id="7" xr3:uid="{2741CED5-37DC-4B66-9791-7660F2F82AB3}" name="Salaried"/>
    <tableColumn id="8" xr3:uid="{B8499F5D-4BD6-4EEB-B957-C54605A7B1DF}" name="Low" dataDxfId="27" dataCellStyle="Currency"/>
    <tableColumn id="9" xr3:uid="{DEBD7A24-E230-433E-B76A-2A9CB996B917}" name="High" dataDxfId="26" dataCellStyle="Currency"/>
    <tableColumn id="27" xr3:uid="{D6470FFF-AB66-4B6A-9C8A-455C67B8572E}" name="H-L" dataDxfId="25" dataCellStyle="Currency">
      <calculatedColumnFormula>ROUND(IF(ApplicationTracker[[#This Row],[Salaried]]="No",ApplicationTracker[[#This Row],[Low]],ApplicationTracker[[#This Row],[Low]]/Fulltime40Year),2)</calculatedColumnFormula>
    </tableColumn>
    <tableColumn id="26" xr3:uid="{24BAAD73-6409-4000-AE03-651FE68D7168}" name="H-H" dataDxfId="24" dataCellStyle="Currency">
      <calculatedColumnFormula>ROUND(IF(ApplicationTracker[[#This Row],[Salaried]]="No",ApplicationTracker[[#This Row],[High]],ApplicationTracker[[#This Row],[High]]/Fulltime40Year),2)</calculatedColumnFormula>
    </tableColumn>
    <tableColumn id="25" xr3:uid="{3265BF2C-623A-448E-A0F8-AE0C8679D905}" name="Hourly" dataDxfId="23" dataCellStyle="Currency">
      <calculatedColumnFormula>_xlfn.TEXTJOIN(" ",FALSE,"$",TEXT(ApplicationTracker[[#This Row],[H-L]],"#,##0.00"),"-","$",TEXT(ApplicationTracker[[#This Row],[H-H]],"#,##0.00"))</calculatedColumnFormula>
    </tableColumn>
    <tableColumn id="16" xr3:uid="{DB529337-90C7-4C7C-BB60-65614B56A645}" name="M-L" dataDxfId="22" dataCellStyle="Currency">
      <calculatedColumnFormula>ROUND(IF(ApplicationTracker[[#This Row],[Salaried]]="No",ApplicationTracker[[#This Row],[Low]]*Fulltime40Month,ApplicationTracker[[#This Row],[Y-L]]/12),2)</calculatedColumnFormula>
    </tableColumn>
    <tableColumn id="17" xr3:uid="{867CC2DC-8BDA-4648-81E3-3687EBDEDBA4}" name="M-H" dataDxfId="21" dataCellStyle="Currency">
      <calculatedColumnFormula array="1">ROUND(IF(ApplicationTracker[[#This Row],[Salaried]]="No",ApplicationTracker[[#This Row],[High]]*Fulltime40Month,ApplicationTracker[[#This Row],[Y-H]]/12),2)</calculatedColumnFormula>
    </tableColumn>
    <tableColumn id="10" xr3:uid="{3DA1F924-64D6-4122-91EF-B03A61001DB9}" name="Monthly" dataDxfId="20">
      <calculatedColumnFormula>_xlfn.TEXTJOIN(" ",FALSE,"$",TEXT(ApplicationTracker[[#This Row],[M-L]],"#,##0.00"),"-","$",TEXT(ApplicationTracker[[#This Row],[M-H]],"#,##0.00"))</calculatedColumnFormula>
    </tableColumn>
    <tableColumn id="18" xr3:uid="{68B2016D-9036-461A-8299-92D45390EDF0}" name="Y-L" dataDxfId="19">
      <calculatedColumnFormula array="1">IF(ApplicationTracker[[#This Row],[Salaried]]="Yes",ApplicationTracker[[#This Row],[Low]],ApplicationTracker[[#This Row],[M-L]]*12)</calculatedColumnFormula>
    </tableColumn>
    <tableColumn id="19" xr3:uid="{DEC81662-6B53-467F-90A7-BC63B668EFAC}" name="Y-H" dataDxfId="18">
      <calculatedColumnFormula array="1">IF(ApplicationTracker[[#This Row],[Salaried]]="Yes",ApplicationTracker[[#This Row],[High]],ApplicationTracker[[#This Row],[M-H]]*12)</calculatedColumnFormula>
    </tableColumn>
    <tableColumn id="11" xr3:uid="{8AA76446-3FD5-4C5C-AA90-7C2B70082223}" name="Yearly" dataDxfId="17">
      <calculatedColumnFormula>_xlfn.TEXTJOIN(" ",FALSE,"$",TEXT(ApplicationTracker[[#This Row],[Y-L]],"#,##0.00"),"-","$",TEXT(ApplicationTracker[[#This Row],[Y-H]],"#,##0.00"))</calculatedColumnFormula>
    </tableColumn>
    <tableColumn id="20" xr3:uid="{255EABCD-CCAC-40B0-AA81-D340B1B5FE5D}" name="Likely" dataDxfId="16"/>
    <tableColumn id="12" xr3:uid="{6D24C4DE-3221-4CA5-87D8-FEEE8F34C407}" name="Want"/>
    <tableColumn id="13" xr3:uid="{BFE68342-E65A-4BEA-A38C-A9A06F629564}" name="Updated" dataDxfId="15"/>
    <tableColumn id="14" xr3:uid="{730C58CA-8B81-4479-A323-B9A9C11DBAE3}" name="Source" dataDxfId="14"/>
    <tableColumn id="15" xr3:uid="{B8F1508C-F6D3-4E3B-9EE4-AEF6E1069F37}" name="Link"/>
    <tableColumn id="21" xr3:uid="{68AB3877-C972-454E-A12F-811A9EF02079}" name="AppID">
      <calculatedColumnFormula>_xlfn.TEXTJOIN("",FALSE,LEFT(ApplicationTracker[[#This Row],[Company]],2),DEC2HEX(ApplicationTracker[[#This Row],[Date]]),DEC2HEX(ApplicationTracker[[#This Row],[Updated]]),LEFT(ApplicationTracker[[#This Row],[Job Title]],2),ApplicationTracker[[#This Row],[Want]]*ApplicationTracker[[#This Row],[Likely]])</calculatedColumnFormula>
    </tableColumn>
  </tableColumns>
  <tableStyleInfo name="TableStyleLight13" showFirstColumn="1" showLastColumn="0" showRowStripes="1" showColumnStripes="0"/>
</table>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ABNT">
      <a:majorFont>
        <a:latin typeface="Arial Black"/>
        <a:ea typeface=""/>
        <a:cs typeface=""/>
      </a:majorFont>
      <a:minorFont>
        <a:latin typeface="Arial Nova"/>
        <a:ea typeface=""/>
        <a:cs typeface=""/>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linkedin.com/jobs/view/4327954396/?trk=flagship3_job_home_appliedjobs&amp;refId=760bc407-97a8-4e61-adab-f871eacd1b8e&amp;trackingId=qQQ%2FyQVXQmSIYUIDET8dAw%3D%3D" TargetMode="External"/><Relationship Id="rId18" Type="http://schemas.openxmlformats.org/officeDocument/2006/relationships/hyperlink" Target="https://www.linkedin.com/jobs/view/4344483307/?trk=flagship3_job_home_appliedjobs&amp;refId=760bc407-97a8-4e61-adab-f871eacd1b8e&amp;trackingId=v2z%2F%2BXFCRCSIPSDYSK5iVA%3D%3D" TargetMode="External"/><Relationship Id="rId26" Type="http://schemas.openxmlformats.org/officeDocument/2006/relationships/hyperlink" Target="https://www.linkedin.com/jobs/view/4329006745/?trk=flagship3_job_home_appliedjobs&amp;refId=c5d92fbd-7b30-4af0-816f-8b26c9c60fc8&amp;trackingId=M7fHAzhTSL%2BcVrX1yOuiUA%3D%3D" TargetMode="External"/><Relationship Id="rId39" Type="http://schemas.openxmlformats.org/officeDocument/2006/relationships/hyperlink" Target="https://stonybrooku.taleo.net/careersection/careersection/2/jobdetail.ftl" TargetMode="External"/><Relationship Id="rId21" Type="http://schemas.openxmlformats.org/officeDocument/2006/relationships/hyperlink" Target="https://www.linkedin.com/jobs/view/4344797631/?trk=flagship3_job_home_appliedjobs&amp;refId=760bc407-97a8-4e61-adab-f871eacd1b8e&amp;trackingId=czaHfO2EQ8G6jH%2B3frxQVQ%3D%3D" TargetMode="External"/><Relationship Id="rId34" Type="http://schemas.openxmlformats.org/officeDocument/2006/relationships/hyperlink" Target="https://www.linkedin.com/jobs/view/4343629578/?trk=flagship3_job_home_appliedjobs&amp;refId=03bb4b4b-2568-4fc0-80bc-6101dc671f70&amp;trackingId=lx9areUpTryKEtHvrSubnQ%3D%3D" TargetMode="External"/><Relationship Id="rId42" Type="http://schemas.openxmlformats.org/officeDocument/2006/relationships/hyperlink" Target="https://workforcenow.adp.com/mascsr/default/mdf/recruitment/recruitment.html?cid=d00bf761-419c-47c3-be3c-4f1d451312d1&amp;ccId=19000101_000001&amp;jobId=525244&amp;lang=en_US" TargetMode="External"/><Relationship Id="rId47" Type="http://schemas.openxmlformats.org/officeDocument/2006/relationships/hyperlink" Target="https://dlapiper.wd1.myworkdayjobs.com/en-US/dlapiper/job/IT-Technician_R2025-1798" TargetMode="External"/><Relationship Id="rId50" Type="http://schemas.openxmlformats.org/officeDocument/2006/relationships/hyperlink" Target="https://www.ziprecruiter.com/ojob/transcendent-talent/jr-it-support-specialist?lvk=fbTy8lqZp8G-GRtJigj6aQ" TargetMode="External"/><Relationship Id="rId7" Type="http://schemas.openxmlformats.org/officeDocument/2006/relationships/hyperlink" Target="https://www.linkedin.com/jobs/view/4338396895/?trk=flagship3_job_home_appliedjobs&amp;refId=febdfddb-a4d4-44ed-960a-e8227507d572&amp;trackingId=BeFYlv5qT26R8Be7IX2%2FdA%3D%3D" TargetMode="External"/><Relationship Id="rId2" Type="http://schemas.openxmlformats.org/officeDocument/2006/relationships/hyperlink" Target="https://mavistire.applicantpro.com/jobs/3898860.html" TargetMode="External"/><Relationship Id="rId16" Type="http://schemas.openxmlformats.org/officeDocument/2006/relationships/hyperlink" Target="https://www.linkedin.com/jobs/view/4350196941/?trk=flagship3_job_home_appliedjobs&amp;refId=760bc407-97a8-4e61-adab-f871eacd1b8e&amp;trackingId=xKi2df3dSTORrKFK6bljEw%3D%3D" TargetMode="External"/><Relationship Id="rId29" Type="http://schemas.openxmlformats.org/officeDocument/2006/relationships/hyperlink" Target="https://www.linkedin.com/jobs/view/4346291704/?trk=flagship3_job_home_appliedjobs&amp;refId=03bb4b4b-2568-4fc0-80bc-6101dc671f70&amp;trackingId=DNeKsXdQR06uqQZtZ32Mbg%3D%3D" TargetMode="External"/><Relationship Id="rId11" Type="http://schemas.openxmlformats.org/officeDocument/2006/relationships/hyperlink" Target="https://www.linkedin.com/jobs/view/4326228333/?trk=flagship3_job_home_appliedjobs&amp;refId=5828f947-e679-4438-b42b-d487d75ff755&amp;trackingId=zI%2FQqamVSWSHhDb6fNM5Pw%3D%3D" TargetMode="External"/><Relationship Id="rId24" Type="http://schemas.openxmlformats.org/officeDocument/2006/relationships/hyperlink" Target="https://careers.leidos.com/jobs/17167740-jr-system-administrator" TargetMode="External"/><Relationship Id="rId32" Type="http://schemas.openxmlformats.org/officeDocument/2006/relationships/hyperlink" Target="https://www.linkedin.com/jobs/view/4328996751/?trk=flagship3_job_home_appliedjobs&amp;refId=03bb4b4b-2568-4fc0-80bc-6101dc671f70&amp;trackingId=Ni%2FUO2PcRq6MSj82ZGTo%2Bg%3D%3D" TargetMode="External"/><Relationship Id="rId37" Type="http://schemas.openxmlformats.org/officeDocument/2006/relationships/hyperlink" Target="https://stonybrooku.taleo.net/careersection/careersection/candidateacquisition/flow.jsf" TargetMode="External"/><Relationship Id="rId40" Type="http://schemas.openxmlformats.org/officeDocument/2006/relationships/hyperlink" Target="https://cityjobs.nyc.gov/job/it-help-desk-specialist-in-manhattan-jid-38777" TargetMode="External"/><Relationship Id="rId45" Type="http://schemas.openxmlformats.org/officeDocument/2006/relationships/hyperlink" Target="https://jobs.xantrion.com/apply/zE3T8GqjoZ/IT-Support-Engineer-I-Hybrid-New-York-City" TargetMode="External"/><Relationship Id="rId5" Type="http://schemas.openxmlformats.org/officeDocument/2006/relationships/hyperlink" Target="https://www.linkedin.com/jobs/view/4344870886/?trk=flagship3_job_home_appliedjobs&amp;refId=febdfddb-a4d4-44ed-960a-e8227507d572&amp;trackingId=Nj1uYrcQSfCQVwBW22bQcw%3D%3D" TargetMode="External"/><Relationship Id="rId15" Type="http://schemas.openxmlformats.org/officeDocument/2006/relationships/hyperlink" Target="https://www.linkedin.com/jobs/view/4348333415/?trk=flagship3_job_home_appliedjobs&amp;refId=760bc407-97a8-4e61-adab-f871eacd1b8e&amp;trackingId=b7VRzYECReCTxalc7%2FYbzA%3D%3D" TargetMode="External"/><Relationship Id="rId23" Type="http://schemas.openxmlformats.org/officeDocument/2006/relationships/hyperlink" Target="https://ibmglobal.avature.net/en_US/careers/JobDetail?jobId=73425&amp;src=LinkedIn&amp;source=LinkedIn&amp;tags=&amp;user=&amp;formValues=" TargetMode="External"/><Relationship Id="rId28" Type="http://schemas.openxmlformats.org/officeDocument/2006/relationships/hyperlink" Target="https://www.linkedin.com/jobs/view/4329026651/?trk=flagship3_job_home_appliedjobs&amp;refId=03bb4b4b-2568-4fc0-80bc-6101dc671f70&amp;trackingId=%2BP4niXi%2BQFGDHVgjWL0nBw%3D%3D" TargetMode="External"/><Relationship Id="rId36" Type="http://schemas.openxmlformats.org/officeDocument/2006/relationships/hyperlink" Target="https://zrec.in/TdCKf?source=CareerSite" TargetMode="External"/><Relationship Id="rId49" Type="http://schemas.openxmlformats.org/officeDocument/2006/relationships/hyperlink" Target="https://www.ziprecruiter.com/ojob/tristate-technology-solutions-llc/it-field-technician-onsite-support?lvk=hCrkAbQ7BPo81U476bbm9Q" TargetMode="External"/><Relationship Id="rId10" Type="http://schemas.openxmlformats.org/officeDocument/2006/relationships/hyperlink" Target="https://www.linkedin.com/jobs/view/4327867251/?trk=flagship3_job_home_appliedjobs&amp;refId=febdfddb-a4d4-44ed-960a-e8227507d572&amp;trackingId=%2F4JV5%2F3cR%2FSAWDM%2BF4AaQg%3D%3D" TargetMode="External"/><Relationship Id="rId19" Type="http://schemas.openxmlformats.org/officeDocument/2006/relationships/hyperlink" Target="https://www.linkedin.com/jobs/view/4334209448/?trk=flagship3_job_home_appliedjobs&amp;refId=760bc407-97a8-4e61-adab-f871eacd1b8e&amp;trackingId=XUo%2Fw9K%2FTy27U8RqKcD9IA%3D%3D" TargetMode="External"/><Relationship Id="rId31" Type="http://schemas.openxmlformats.org/officeDocument/2006/relationships/hyperlink" Target="https://www.linkedin.com/jobs/view/4345768556/?trk=flagship3_job_home_appliedjobs&amp;refId=03bb4b4b-2568-4fc0-80bc-6101dc671f70&amp;trackingId=rq3LXxsdTHGYLe8dpRdn3Q%3D%3D" TargetMode="External"/><Relationship Id="rId44" Type="http://schemas.openxmlformats.org/officeDocument/2006/relationships/hyperlink" Target="https://www.indeed.com/viewjob?jk=d664a1d24bd827fb&amp;from=shareddesktop_copy" TargetMode="External"/><Relationship Id="rId52" Type="http://schemas.openxmlformats.org/officeDocument/2006/relationships/table" Target="../tables/table1.xml"/><Relationship Id="rId4" Type="http://schemas.openxmlformats.org/officeDocument/2006/relationships/hyperlink" Target="https://www.linkedin.com/jobs/view/4325564926/?trk=flagship3_job_home_appliedjobs&amp;refId=febdfddb-a4d4-44ed-960a-e8227507d572&amp;trackingId=tc23uUacTIKUre4C7drtgg%3D%3D" TargetMode="External"/><Relationship Id="rId9" Type="http://schemas.openxmlformats.org/officeDocument/2006/relationships/hyperlink" Target="https://www.linkedin.com/jobs/view/4325339009/?trk=flagship3_job_home_appliedjobs&amp;refId=febdfddb-a4d4-44ed-960a-e8227507d572&amp;trackingId=AA0%2FhrlhQ7Stcoaslx1%2FuQ%3D%3D" TargetMode="External"/><Relationship Id="rId14" Type="http://schemas.openxmlformats.org/officeDocument/2006/relationships/hyperlink" Target="https://www.linkedin.com/jobs/view/4339994245/?trk=flagship3_job_home_appliedjobs&amp;refId=760bc407-97a8-4e61-adab-f871eacd1b8e&amp;trackingId=PaXX91GPTDaTwU70hO0NBQ%3D%3D" TargetMode="External"/><Relationship Id="rId22" Type="http://schemas.openxmlformats.org/officeDocument/2006/relationships/hyperlink" Target="https://www.linkedin.com/jobs/view/4322069426/?trk=flagship3_job_home_appliedjobs&amp;refId=4d605dbb-a1cd-491e-866c-fc2d67484931&amp;trackingId=%2Bjh%2BNAKVScaEox450wxgLw%3D%3D" TargetMode="External"/><Relationship Id="rId27" Type="http://schemas.openxmlformats.org/officeDocument/2006/relationships/hyperlink" Target="https://www.linkedin.com/jobs/view/4346252662/?trk=flagship3_job_home_appliedjobs&amp;refId=03bb4b4b-2568-4fc0-80bc-6101dc671f70&amp;trackingId=DenFFZsmQPCqqu60f8wMZg%3D%3D" TargetMode="External"/><Relationship Id="rId30" Type="http://schemas.openxmlformats.org/officeDocument/2006/relationships/hyperlink" Target="https://www.linkedin.com/jobs/view/4327246218/?trk=flagship3_job_home_appliedjobs&amp;refId=03bb4b4b-2568-4fc0-80bc-6101dc671f70&amp;trackingId=NvMKA9SUQ6y6ARoXdFGwHA%3D%3D" TargetMode="External"/><Relationship Id="rId35" Type="http://schemas.openxmlformats.org/officeDocument/2006/relationships/hyperlink" Target="https://www.linkedin.com/jobs/view/4340188803/?trk=flagship3_job_home_appliedjobs&amp;refId=03bb4b4b-2568-4fc0-80bc-6101dc671f70&amp;trackingId=ZfhjqgsxQzmEmQEvzqmqGg%3D%3D" TargetMode="External"/><Relationship Id="rId43" Type="http://schemas.openxmlformats.org/officeDocument/2006/relationships/hyperlink" Target="https://prd01-hcm01.prd.mykronos.com/ta/6071600.careers?ApplyToJob=2080649973&amp;LanguageOverride=EN" TargetMode="External"/><Relationship Id="rId48" Type="http://schemas.openxmlformats.org/officeDocument/2006/relationships/hyperlink" Target="https://dlapiper.wd1.myworkdayjobs.com/en-US/dlapiper/job/IT-Technician---Desktop-Support_R2025-1800" TargetMode="External"/><Relationship Id="rId8" Type="http://schemas.openxmlformats.org/officeDocument/2006/relationships/hyperlink" Target="https://www.linkedin.com/jobs/view/4350183070/?trk=flagship3_job_home_appliedjobs&amp;refId=febdfddb-a4d4-44ed-960a-e8227507d572&amp;trackingId=mvfmylnGTh2Lgdj4eGna7w%3D%3D" TargetMode="External"/><Relationship Id="rId51" Type="http://schemas.openxmlformats.org/officeDocument/2006/relationships/printerSettings" Target="../printerSettings/printerSettings1.bin"/><Relationship Id="rId3" Type="http://schemas.openxmlformats.org/officeDocument/2006/relationships/hyperlink" Target="https://www.linkedin.com/jobs/view/4335555260/?trk=flagship3_job_home_appliedjobs&amp;refId=375f488c-b819-4c34-bc75-329c40d9b132&amp;trackingId=ZcNfb4sBTsCNm2VqKflZXw%3D%3D" TargetMode="External"/><Relationship Id="rId12" Type="http://schemas.openxmlformats.org/officeDocument/2006/relationships/hyperlink" Target="https://www.linkedin.com/jobs/view/4344843114/?trk=flagship3_job_home_appliedjobs&amp;refId=2ef7fb33-b472-46d9-885b-a82dcb344694&amp;trackingId=f%2FkqYiZfTvqGZHat%2F%2FUXnw%3D%3D" TargetMode="External"/><Relationship Id="rId17" Type="http://schemas.openxmlformats.org/officeDocument/2006/relationships/hyperlink" Target="https://www.linkedin.com/jobs/view/4305150715/?trk=flagship3_job_home_appliedjobs&amp;refId=760bc407-97a8-4e61-adab-f871eacd1b8e&amp;trackingId=jaou%2FPdRQbeP8ErRJeq3uw%3D%3D" TargetMode="External"/><Relationship Id="rId25" Type="http://schemas.openxmlformats.org/officeDocument/2006/relationships/hyperlink" Target="https://www.linkedin.com/jobs/view/4346297594/?refId=8dadf8f1-ef06-4407-be51-020e13a3758e&amp;trackingId=dM%2BVDoioTgaqScn%2B6n%2BHkg%3D%3D&amp;trk=flagship3_job_home_appliedjobs&amp;lipi=urn%3Ali%3Apage%3Ad_flagship3_myitems_savedjobs%3B9%2Bc75ZuiTd%2BSYqpiXlyGNQ%3D%3D" TargetMode="External"/><Relationship Id="rId33" Type="http://schemas.openxmlformats.org/officeDocument/2006/relationships/hyperlink" Target="https://www.linkedin.com/jobs/view/4342184063/?trk=flagship3_job_home_appliedjobs&amp;refId=03bb4b4b-2568-4fc0-80bc-6101dc671f70&amp;trackingId=oQhFsYisQY%2BX8A508MjD7A%3D%3D" TargetMode="External"/><Relationship Id="rId38" Type="http://schemas.openxmlformats.org/officeDocument/2006/relationships/hyperlink" Target="https://stonybrooku.taleo.net/careersection/careersection/2/jobdetail.ftl" TargetMode="External"/><Relationship Id="rId46" Type="http://schemas.openxmlformats.org/officeDocument/2006/relationships/hyperlink" Target="https://rcspro.bamboohr.com/careers/26" TargetMode="External"/><Relationship Id="rId20" Type="http://schemas.openxmlformats.org/officeDocument/2006/relationships/hyperlink" Target="https://www.linkedin.com/jobs/view/4274352393/?trk=flagship3_job_home_appliedjobs&amp;refId=760bc407-97a8-4e61-adab-f871eacd1b8e&amp;trackingId=74GqTDcOQ4msuhkBPWqZFQ%3D%3D" TargetMode="External"/><Relationship Id="rId41" Type="http://schemas.openxmlformats.org/officeDocument/2006/relationships/hyperlink" Target="https://cityjobs.nyc.gov/job/desktop-support-in-nyc-all-boros-jid-39239" TargetMode="External"/><Relationship Id="rId1" Type="http://schemas.openxmlformats.org/officeDocument/2006/relationships/hyperlink" Target="https://www.linkedin.com/jobs/view/4151641056/?trk=flagship3_job_home_appliedjobs&amp;refId=375f488c-b819-4c34-bc75-329c40d9b132&amp;trackingId=%2FfG2shYqQluOxAg6qfuA8g%3D%3D" TargetMode="External"/><Relationship Id="rId6" Type="http://schemas.openxmlformats.org/officeDocument/2006/relationships/hyperlink" Target="https://www.linkedin.com/jobs/view/4342594825/?trk=flagship3_job_home_appliedjobs&amp;refId=febdfddb-a4d4-44ed-960a-e8227507d572&amp;trackingId=l7FaC3X5TwWgHAaAlK9qmg%3D%3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1329E-6694-47FA-A3F6-4B5B6943FA41}">
  <dimension ref="A1:AA58"/>
  <sheetViews>
    <sheetView tabSelected="1" zoomScale="70" zoomScaleNormal="70" workbookViewId="0">
      <selection activeCell="C12" sqref="C12"/>
    </sheetView>
  </sheetViews>
  <sheetFormatPr defaultRowHeight="13.9" x14ac:dyDescent="0.4"/>
  <cols>
    <col min="1" max="2" width="18.125" bestFit="1" customWidth="1"/>
    <col min="3" max="3" width="13" style="9" customWidth="1"/>
    <col min="4" max="4" width="12.8125" style="9" customWidth="1"/>
    <col min="5" max="5" width="11.875" bestFit="1" customWidth="1"/>
    <col min="6" max="6" width="32" customWidth="1"/>
    <col min="7" max="7" width="27.375" customWidth="1"/>
    <col min="8" max="8" width="9.0625" bestFit="1" customWidth="1"/>
    <col min="9" max="9" width="27.5625" bestFit="1" customWidth="1"/>
    <col min="10" max="10" width="11.25" bestFit="1" customWidth="1"/>
    <col min="11" max="12" width="13.0625" customWidth="1"/>
    <col min="13" max="14" width="8.5625" hidden="1" customWidth="1"/>
    <col min="15" max="15" width="15.125" bestFit="1" customWidth="1"/>
    <col min="16" max="17" width="12.3125" hidden="1" customWidth="1"/>
    <col min="18" max="18" width="22.75" bestFit="1" customWidth="1"/>
    <col min="19" max="20" width="13.375" hidden="1" customWidth="1"/>
    <col min="21" max="21" width="22.9375" customWidth="1"/>
    <col min="22" max="22" width="8.75" customWidth="1"/>
    <col min="23" max="23" width="8.3125" customWidth="1"/>
    <col min="24" max="24" width="10.9375" customWidth="1"/>
    <col min="25" max="25" width="13.1875" bestFit="1" customWidth="1"/>
    <col min="26" max="26" width="255.5625" bestFit="1" customWidth="1"/>
    <col min="27" max="27" width="16.6875" bestFit="1" customWidth="1"/>
  </cols>
  <sheetData>
    <row r="1" spans="1:27" ht="22.5" x14ac:dyDescent="0.6">
      <c r="A1" s="10" t="s">
        <v>0</v>
      </c>
      <c r="B1" s="10"/>
      <c r="C1" s="10"/>
      <c r="D1" s="10"/>
      <c r="E1" s="10"/>
      <c r="F1" s="10"/>
      <c r="G1" s="10"/>
      <c r="H1" s="10"/>
      <c r="I1" s="10"/>
      <c r="J1" s="10"/>
      <c r="K1" s="10"/>
      <c r="L1" s="10"/>
      <c r="M1" s="10"/>
      <c r="N1" s="10"/>
      <c r="O1" s="10"/>
      <c r="P1" s="10"/>
      <c r="Q1" s="10"/>
      <c r="R1" s="10"/>
      <c r="S1" s="10"/>
      <c r="T1" s="10"/>
      <c r="U1" s="10"/>
      <c r="V1" s="10"/>
      <c r="W1" s="10"/>
      <c r="X1" s="10"/>
      <c r="Y1" s="10"/>
      <c r="Z1" s="10"/>
    </row>
    <row r="2" spans="1:27" x14ac:dyDescent="0.4">
      <c r="A2" t="s">
        <v>14</v>
      </c>
      <c r="B2" t="s">
        <v>210</v>
      </c>
      <c r="C2" s="9" t="s">
        <v>211</v>
      </c>
      <c r="D2" s="9" t="s">
        <v>212</v>
      </c>
      <c r="E2" t="s">
        <v>1</v>
      </c>
      <c r="F2" t="s">
        <v>2</v>
      </c>
      <c r="G2" t="s">
        <v>3</v>
      </c>
      <c r="H2" t="s">
        <v>17</v>
      </c>
      <c r="I2" t="s">
        <v>4</v>
      </c>
      <c r="J2" t="s">
        <v>9</v>
      </c>
      <c r="K2" t="s">
        <v>5</v>
      </c>
      <c r="L2" t="s">
        <v>6</v>
      </c>
      <c r="M2" t="s">
        <v>230</v>
      </c>
      <c r="N2" t="s">
        <v>231</v>
      </c>
      <c r="O2" t="s">
        <v>229</v>
      </c>
      <c r="P2" t="s">
        <v>37</v>
      </c>
      <c r="Q2" t="s">
        <v>38</v>
      </c>
      <c r="R2" t="s">
        <v>7</v>
      </c>
      <c r="S2" t="s">
        <v>39</v>
      </c>
      <c r="T2" t="s">
        <v>40</v>
      </c>
      <c r="U2" t="s">
        <v>8</v>
      </c>
      <c r="V2" t="s">
        <v>69</v>
      </c>
      <c r="W2" t="s">
        <v>58</v>
      </c>
      <c r="X2" t="s">
        <v>16</v>
      </c>
      <c r="Y2" t="s">
        <v>158</v>
      </c>
      <c r="Z2" t="s">
        <v>15</v>
      </c>
      <c r="AA2" t="s">
        <v>200</v>
      </c>
    </row>
    <row r="3" spans="1:27" x14ac:dyDescent="0.4">
      <c r="A3" s="2">
        <v>46014</v>
      </c>
      <c r="B3" s="2">
        <v>45959</v>
      </c>
      <c r="C3" s="9">
        <f ca="1">IF(ISBLANK(ApplicationTracker[[#This Row],[Posted]]),"Unknown",TODAY()-ApplicationTracker[[#This Row],[Posted]])</f>
        <v>86</v>
      </c>
      <c r="D3" s="9">
        <f ca="1">TODAY()-ApplicationTracker[[#This Row],[Date]]</f>
        <v>31</v>
      </c>
      <c r="E3" t="s">
        <v>23</v>
      </c>
      <c r="F3" t="s">
        <v>35</v>
      </c>
      <c r="G3" t="s">
        <v>36</v>
      </c>
      <c r="H3" t="s">
        <v>18</v>
      </c>
      <c r="I3" t="e" vm="1">
        <v>#VALUE!</v>
      </c>
      <c r="J3" t="s">
        <v>13</v>
      </c>
      <c r="K3" s="4">
        <v>22</v>
      </c>
      <c r="L3" s="4">
        <v>27</v>
      </c>
      <c r="M3" s="4">
        <f>ROUND(IF(ApplicationTracker[[#This Row],[Salaried]]="No",ApplicationTracker[[#This Row],[Low]],ApplicationTracker[[#This Row],[Low]]/Fulltime40Year),2)</f>
        <v>22</v>
      </c>
      <c r="N3" s="4">
        <f>ROUND(IF(ApplicationTracker[[#This Row],[Salaried]]="No",ApplicationTracker[[#This Row],[High]],ApplicationTracker[[#This Row],[High]]/Fulltime40Year),2)</f>
        <v>27</v>
      </c>
      <c r="O3" s="6" t="str">
        <f>_xlfn.TEXTJOIN(" ",FALSE,"$",TEXT(ApplicationTracker[[#This Row],[H-L]],"#,##0.00"),"-","$",TEXT(ApplicationTracker[[#This Row],[H-H]],"#,##0.00"))</f>
        <v>$ 22.00 - $ 27.00</v>
      </c>
      <c r="P3" s="4">
        <f>ROUND(IF(ApplicationTracker[[#This Row],[Salaried]]="No",ApplicationTracker[[#This Row],[Low]]*Fulltime40Month,ApplicationTracker[[#This Row],[Y-L]]/12),2)</f>
        <v>3520</v>
      </c>
      <c r="Q3" s="4" cm="1">
        <f t="array" ref="Q3">ROUND(IF(ApplicationTracker[[#This Row],[Salaried]]="No",ApplicationTracker[[#This Row],[High]]*Fulltime40Month,ApplicationTracker[[#This Row],[Y-H]]/12),2)</f>
        <v>4320</v>
      </c>
      <c r="R3" s="6" t="str">
        <f>_xlfn.TEXTJOIN(" ",FALSE,"$",TEXT(ApplicationTracker[[#This Row],[M-L]],"#,##0.00"),"-","$",TEXT(ApplicationTracker[[#This Row],[M-H]],"#,##0.00"))</f>
        <v>$ 3,520.00 - $ 4,320.00</v>
      </c>
      <c r="S3" s="5" cm="1">
        <f t="array" ref="S3">IF(ApplicationTracker[[#This Row],[Salaried]]="Yes",ApplicationTracker[[#This Row],[Low]],ApplicationTracker[[#This Row],[M-L]]*12)</f>
        <v>42240</v>
      </c>
      <c r="T3" s="5" cm="1">
        <f t="array" ref="T3">IF(ApplicationTracker[[#This Row],[Salaried]]="Yes",ApplicationTracker[[#This Row],[High]],ApplicationTracker[[#This Row],[M-H]]*12)</f>
        <v>51840</v>
      </c>
      <c r="U3" s="6" t="str">
        <f>_xlfn.TEXTJOIN(" ",FALSE,"$",TEXT(ApplicationTracker[[#This Row],[Y-L]],"#,##0.00"),"-","$",TEXT(ApplicationTracker[[#This Row],[Y-H]],"#,##0.00"))</f>
        <v>$ 42,240.00 - $ 51,840.00</v>
      </c>
      <c r="V3">
        <v>7</v>
      </c>
      <c r="W3">
        <v>10</v>
      </c>
      <c r="X3" s="1">
        <v>46014</v>
      </c>
      <c r="Y3" s="1" t="s">
        <v>28</v>
      </c>
      <c r="Z3" s="3" t="s">
        <v>21</v>
      </c>
      <c r="AA3" t="str">
        <f>_xlfn.TEXTJOIN("",FALSE,LEFT(ApplicationTracker[[#This Row],[Company]],2),DEC2HEX(ApplicationTracker[[#This Row],[Date]]),DEC2HEX(ApplicationTracker[[#This Row],[Updated]]),LEFT(ApplicationTracker[[#This Row],[Job Title]],2),ApplicationTracker[[#This Row],[Want]]*ApplicationTracker[[#This Row],[Likely]])</f>
        <v>MaB3BEB3BEIT70</v>
      </c>
    </row>
    <row r="4" spans="1:27" x14ac:dyDescent="0.4">
      <c r="A4" s="2">
        <v>46020</v>
      </c>
      <c r="B4" s="2">
        <v>45979</v>
      </c>
      <c r="C4" s="9">
        <f ca="1">IF(ISBLANK(ApplicationTracker[[#This Row],[Posted]]),"Unknown",TODAY()-ApplicationTracker[[#This Row],[Posted]])</f>
        <v>66</v>
      </c>
      <c r="D4" s="9">
        <f ca="1">TODAY()-ApplicationTracker[[#This Row],[Date]]</f>
        <v>25</v>
      </c>
      <c r="E4" t="s">
        <v>22</v>
      </c>
      <c r="F4" t="s">
        <v>162</v>
      </c>
      <c r="G4" t="s">
        <v>161</v>
      </c>
      <c r="H4" t="s">
        <v>18</v>
      </c>
      <c r="I4" t="e" vm="2">
        <v>#VALUE!</v>
      </c>
      <c r="J4" t="s">
        <v>11</v>
      </c>
      <c r="K4" s="4">
        <v>54101</v>
      </c>
      <c r="L4" s="4">
        <v>65950</v>
      </c>
      <c r="M4" s="4">
        <f>ROUND(IF(ApplicationTracker[[#This Row],[Salaried]]="No",ApplicationTracker[[#This Row],[Low]],ApplicationTracker[[#This Row],[Low]]/Fulltime40Year),2)</f>
        <v>26.01</v>
      </c>
      <c r="N4" s="4">
        <f>ROUND(IF(ApplicationTracker[[#This Row],[Salaried]]="No",ApplicationTracker[[#This Row],[High]],ApplicationTracker[[#This Row],[High]]/Fulltime40Year),2)</f>
        <v>31.71</v>
      </c>
      <c r="O4" s="6" t="str">
        <f>_xlfn.TEXTJOIN(" ",FALSE,"$",TEXT(ApplicationTracker[[#This Row],[H-L]],"#,##0.00"),"-","$",TEXT(ApplicationTracker[[#This Row],[H-H]],"#,##0.00"))</f>
        <v>$ 26.01 - $ 31.71</v>
      </c>
      <c r="P4" s="4">
        <f>ROUND(IF(ApplicationTracker[[#This Row],[Salaried]]="No",ApplicationTracker[[#This Row],[Low]]*Fulltime40Month,ApplicationTracker[[#This Row],[Y-L]]/12),2)</f>
        <v>4508.42</v>
      </c>
      <c r="Q4" s="4" cm="1">
        <f t="array" ref="Q4">ROUND(IF(ApplicationTracker[[#This Row],[Salaried]]="No",ApplicationTracker[[#This Row],[High]]*Fulltime40Month,ApplicationTracker[[#This Row],[Y-H]]/12),2)</f>
        <v>5495.83</v>
      </c>
      <c r="R4" s="6" t="str">
        <f>_xlfn.TEXTJOIN(" ",FALSE,"$",TEXT(ApplicationTracker[[#This Row],[M-L]],"#,##0.00"),"-","$",TEXT(ApplicationTracker[[#This Row],[M-H]],"#,##0.00"))</f>
        <v>$ 4,508.42 - $ 5,495.83</v>
      </c>
      <c r="S4" s="5" cm="1">
        <f t="array" ref="S4">IF(ApplicationTracker[[#This Row],[Salaried]]="Yes",ApplicationTracker[[#This Row],[Low]],ApplicationTracker[[#This Row],[M-L]]*12)</f>
        <v>54101</v>
      </c>
      <c r="T4" s="5" cm="1">
        <f t="array" ref="T4">IF(ApplicationTracker[[#This Row],[Salaried]]="Yes",ApplicationTracker[[#This Row],[High]],ApplicationTracker[[#This Row],[M-H]]*12)</f>
        <v>65950</v>
      </c>
      <c r="U4" s="6" t="str">
        <f>_xlfn.TEXTJOIN(" ",FALSE,"$",TEXT(ApplicationTracker[[#This Row],[Y-L]],"#,##0.00"),"-","$",TEXT(ApplicationTracker[[#This Row],[Y-H]],"#,##0.00"))</f>
        <v>$ 54,101.00 - $ 65,950.00</v>
      </c>
      <c r="V4" s="6">
        <v>2</v>
      </c>
      <c r="W4">
        <v>10</v>
      </c>
      <c r="X4" s="1">
        <v>46020</v>
      </c>
      <c r="Y4" s="1" t="s">
        <v>164</v>
      </c>
      <c r="Z4" s="3" t="s">
        <v>163</v>
      </c>
      <c r="AA4" t="str">
        <f>_xlfn.TEXTJOIN("",FALSE,LEFT(ApplicationTracker[[#This Row],[Company]],2),DEC2HEX(ApplicationTracker[[#This Row],[Date]]),DEC2HEX(ApplicationTracker[[#This Row],[Updated]]),LEFT(ApplicationTracker[[#This Row],[Job Title]],2),ApplicationTracker[[#This Row],[Want]]*ApplicationTracker[[#This Row],[Likely]])</f>
        <v>StB3C4B3C4IT20</v>
      </c>
    </row>
    <row r="5" spans="1:27" x14ac:dyDescent="0.4">
      <c r="A5" s="2">
        <v>46020</v>
      </c>
      <c r="B5" s="2">
        <v>45986</v>
      </c>
      <c r="C5" s="9">
        <f ca="1">IF(ISBLANK(ApplicationTracker[[#This Row],[Posted]]),"Unknown",TODAY()-ApplicationTracker[[#This Row],[Posted]])</f>
        <v>59</v>
      </c>
      <c r="D5" s="9">
        <f ca="1">TODAY()-ApplicationTracker[[#This Row],[Date]]</f>
        <v>25</v>
      </c>
      <c r="E5" t="s">
        <v>22</v>
      </c>
      <c r="F5" t="s">
        <v>160</v>
      </c>
      <c r="G5" t="s">
        <v>161</v>
      </c>
      <c r="H5" t="s">
        <v>18</v>
      </c>
      <c r="I5" t="e" vm="2">
        <v>#VALUE!</v>
      </c>
      <c r="J5" t="s">
        <v>11</v>
      </c>
      <c r="K5" s="4">
        <v>54101</v>
      </c>
      <c r="L5" s="4">
        <v>65950</v>
      </c>
      <c r="M5" s="4">
        <f>ROUND(IF(ApplicationTracker[[#This Row],[Salaried]]="No",ApplicationTracker[[#This Row],[Low]],ApplicationTracker[[#This Row],[Low]]/Fulltime40Year),2)</f>
        <v>26.01</v>
      </c>
      <c r="N5" s="4">
        <f>ROUND(IF(ApplicationTracker[[#This Row],[Salaried]]="No",ApplicationTracker[[#This Row],[High]],ApplicationTracker[[#This Row],[High]]/Fulltime40Year),2)</f>
        <v>31.71</v>
      </c>
      <c r="O5" s="6" t="str">
        <f>_xlfn.TEXTJOIN(" ",FALSE,"$",TEXT(ApplicationTracker[[#This Row],[H-L]],"#,##0.00"),"-","$",TEXT(ApplicationTracker[[#This Row],[H-H]],"#,##0.00"))</f>
        <v>$ 26.01 - $ 31.71</v>
      </c>
      <c r="P5" s="4">
        <f>ROUND(IF(ApplicationTracker[[#This Row],[Salaried]]="No",ApplicationTracker[[#This Row],[Low]]*Fulltime40Month,ApplicationTracker[[#This Row],[Y-L]]/12),2)</f>
        <v>4508.42</v>
      </c>
      <c r="Q5" s="4" cm="1">
        <f t="array" ref="Q5">ROUND(IF(ApplicationTracker[[#This Row],[Salaried]]="No",ApplicationTracker[[#This Row],[High]]*Fulltime40Month,ApplicationTracker[[#This Row],[Y-H]]/12),2)</f>
        <v>5495.83</v>
      </c>
      <c r="R5" s="6" t="str">
        <f>_xlfn.TEXTJOIN(" ",FALSE,"$",TEXT(ApplicationTracker[[#This Row],[M-L]],"#,##0.00"),"-","$",TEXT(ApplicationTracker[[#This Row],[M-H]],"#,##0.00"))</f>
        <v>$ 4,508.42 - $ 5,495.83</v>
      </c>
      <c r="S5" s="5" cm="1">
        <f t="array" ref="S5">IF(ApplicationTracker[[#This Row],[Salaried]]="Yes",ApplicationTracker[[#This Row],[Low]],ApplicationTracker[[#This Row],[M-L]]*12)</f>
        <v>54101</v>
      </c>
      <c r="T5" s="5" cm="1">
        <f t="array" ref="T5">IF(ApplicationTracker[[#This Row],[Salaried]]="Yes",ApplicationTracker[[#This Row],[High]],ApplicationTracker[[#This Row],[M-H]]*12)</f>
        <v>65950</v>
      </c>
      <c r="U5" s="6" t="str">
        <f>_xlfn.TEXTJOIN(" ",FALSE,"$",TEXT(ApplicationTracker[[#This Row],[Y-L]],"#,##0.00"),"-","$",TEXT(ApplicationTracker[[#This Row],[Y-H]],"#,##0.00"))</f>
        <v>$ 54,101.00 - $ 65,950.00</v>
      </c>
      <c r="V5" s="6">
        <v>2</v>
      </c>
      <c r="W5">
        <v>9</v>
      </c>
      <c r="X5" s="1">
        <v>46020</v>
      </c>
      <c r="Y5" s="1" t="s">
        <v>164</v>
      </c>
      <c r="Z5" s="3" t="s">
        <v>159</v>
      </c>
      <c r="AA5" t="str">
        <f>_xlfn.TEXTJOIN("",FALSE,LEFT(ApplicationTracker[[#This Row],[Company]],2),DEC2HEX(ApplicationTracker[[#This Row],[Date]]),DEC2HEX(ApplicationTracker[[#This Row],[Updated]]),LEFT(ApplicationTracker[[#This Row],[Job Title]],2),ApplicationTracker[[#This Row],[Want]]*ApplicationTracker[[#This Row],[Likely]])</f>
        <v>StB3C4B3C4IT18</v>
      </c>
    </row>
    <row r="6" spans="1:27" x14ac:dyDescent="0.4">
      <c r="A6" s="2">
        <v>46015</v>
      </c>
      <c r="B6" s="2"/>
      <c r="C6" s="9" t="str">
        <f ca="1">IF(ISBLANK(ApplicationTracker[[#This Row],[Posted]]),"Unknown",TODAY()-ApplicationTracker[[#This Row],[Posted]])</f>
        <v>Unknown</v>
      </c>
      <c r="D6" s="9">
        <f ca="1">TODAY()-ApplicationTracker[[#This Row],[Date]]</f>
        <v>30</v>
      </c>
      <c r="E6" t="s">
        <v>22</v>
      </c>
      <c r="F6" t="s">
        <v>132</v>
      </c>
      <c r="G6" t="s">
        <v>133</v>
      </c>
      <c r="H6" t="s">
        <v>18</v>
      </c>
      <c r="I6" t="e" vm="3">
        <v>#VALUE!</v>
      </c>
      <c r="J6" t="s">
        <v>13</v>
      </c>
      <c r="K6" s="4">
        <v>36</v>
      </c>
      <c r="L6" s="4">
        <v>40</v>
      </c>
      <c r="M6" s="4">
        <f>ROUND(IF(ApplicationTracker[[#This Row],[Salaried]]="No",ApplicationTracker[[#This Row],[Low]],ApplicationTracker[[#This Row],[Low]]/Fulltime40Year),2)</f>
        <v>36</v>
      </c>
      <c r="N6" s="4">
        <f>ROUND(IF(ApplicationTracker[[#This Row],[Salaried]]="No",ApplicationTracker[[#This Row],[High]],ApplicationTracker[[#This Row],[High]]/Fulltime40Year),2)</f>
        <v>40</v>
      </c>
      <c r="O6" s="6" t="str">
        <f>_xlfn.TEXTJOIN(" ",FALSE,"$",TEXT(ApplicationTracker[[#This Row],[H-L]],"#,##0.00"),"-","$",TEXT(ApplicationTracker[[#This Row],[H-H]],"#,##0.00"))</f>
        <v>$ 36.00 - $ 40.00</v>
      </c>
      <c r="P6" s="4">
        <f>ROUND(IF(ApplicationTracker[[#This Row],[Salaried]]="No",ApplicationTracker[[#This Row],[Low]]*Fulltime40Month,ApplicationTracker[[#This Row],[Y-L]]/12),2)</f>
        <v>5760</v>
      </c>
      <c r="Q6" s="4" cm="1">
        <f t="array" ref="Q6">ROUND(IF(ApplicationTracker[[#This Row],[Salaried]]="No",ApplicationTracker[[#This Row],[High]]*Fulltime40Month,ApplicationTracker[[#This Row],[Y-H]]/12),2)</f>
        <v>6400</v>
      </c>
      <c r="R6" s="6" t="str">
        <f>_xlfn.TEXTJOIN(" ",FALSE,"$",TEXT(ApplicationTracker[[#This Row],[M-L]],"#,##0.00"),"-","$",TEXT(ApplicationTracker[[#This Row],[M-H]],"#,##0.00"))</f>
        <v>$ 5,760.00 - $ 6,400.00</v>
      </c>
      <c r="S6" s="5" cm="1">
        <f t="array" ref="S6">IF(ApplicationTracker[[#This Row],[Salaried]]="Yes",ApplicationTracker[[#This Row],[Low]],ApplicationTracker[[#This Row],[M-L]]*12)</f>
        <v>69120</v>
      </c>
      <c r="T6" s="5" cm="1">
        <f t="array" ref="T6">IF(ApplicationTracker[[#This Row],[Salaried]]="Yes",ApplicationTracker[[#This Row],[High]],ApplicationTracker[[#This Row],[M-H]]*12)</f>
        <v>76800</v>
      </c>
      <c r="U6" s="6" t="str">
        <f>_xlfn.TEXTJOIN(" ",FALSE,"$",TEXT(ApplicationTracker[[#This Row],[Y-L]],"#,##0.00"),"-","$",TEXT(ApplicationTracker[[#This Row],[Y-H]],"#,##0.00"))</f>
        <v>$ 69,120.00 - $ 76,800.00</v>
      </c>
      <c r="V6" s="6">
        <v>1</v>
      </c>
      <c r="W6">
        <v>9</v>
      </c>
      <c r="X6" s="1">
        <v>46018</v>
      </c>
      <c r="Y6" s="1" t="s">
        <v>31</v>
      </c>
      <c r="Z6" s="3" t="s">
        <v>134</v>
      </c>
      <c r="AA6" t="str">
        <f>_xlfn.TEXTJOIN("",FALSE,LEFT(ApplicationTracker[[#This Row],[Company]],2),DEC2HEX(ApplicationTracker[[#This Row],[Date]]),DEC2HEX(ApplicationTracker[[#This Row],[Updated]]),LEFT(ApplicationTracker[[#This Row],[Job Title]],2),ApplicationTracker[[#This Row],[Want]]*ApplicationTracker[[#This Row],[Likely]])</f>
        <v>EvB3BFB3C2Te9</v>
      </c>
    </row>
    <row r="7" spans="1:27" x14ac:dyDescent="0.4">
      <c r="A7" s="2">
        <v>46022</v>
      </c>
      <c r="B7" s="2"/>
      <c r="C7" s="9" t="str">
        <f ca="1">IF(ISBLANK(ApplicationTracker[[#This Row],[Posted]]),"Unknown",TODAY()-ApplicationTracker[[#This Row],[Posted]])</f>
        <v>Unknown</v>
      </c>
      <c r="D7" s="9">
        <f ca="1">TODAY()-ApplicationTracker[[#This Row],[Date]]</f>
        <v>23</v>
      </c>
      <c r="E7" t="s">
        <v>22</v>
      </c>
      <c r="F7" t="s">
        <v>188</v>
      </c>
      <c r="G7" t="s">
        <v>189</v>
      </c>
      <c r="H7" t="s">
        <v>18</v>
      </c>
      <c r="I7" t="e" vm="3">
        <v>#VALUE!</v>
      </c>
      <c r="J7" t="s">
        <v>11</v>
      </c>
      <c r="K7" s="4">
        <v>51712</v>
      </c>
      <c r="L7" s="4">
        <v>68927</v>
      </c>
      <c r="M7" s="4">
        <f>ROUND(IF(ApplicationTracker[[#This Row],[Salaried]]="No",ApplicationTracker[[#This Row],[Low]],ApplicationTracker[[#This Row],[Low]]/Fulltime40Year),2)</f>
        <v>24.86</v>
      </c>
      <c r="N7" s="4">
        <f>ROUND(IF(ApplicationTracker[[#This Row],[Salaried]]="No",ApplicationTracker[[#This Row],[High]],ApplicationTracker[[#This Row],[High]]/Fulltime40Year),2)</f>
        <v>33.14</v>
      </c>
      <c r="O7" s="6" t="str">
        <f>_xlfn.TEXTJOIN(" ",FALSE,"$",TEXT(ApplicationTracker[[#This Row],[H-L]],"#,##0.00"),"-","$",TEXT(ApplicationTracker[[#This Row],[H-H]],"#,##0.00"))</f>
        <v>$ 24.86 - $ 33.14</v>
      </c>
      <c r="P7" s="4">
        <f>ROUND(IF(ApplicationTracker[[#This Row],[Salaried]]="No",ApplicationTracker[[#This Row],[Low]]*Fulltime40Month,ApplicationTracker[[#This Row],[Y-L]]/12),2)</f>
        <v>4309.33</v>
      </c>
      <c r="Q7" s="4" cm="1">
        <f t="array" ref="Q7">ROUND(IF(ApplicationTracker[[#This Row],[Salaried]]="No",ApplicationTracker[[#This Row],[High]]*Fulltime40Month,ApplicationTracker[[#This Row],[Y-H]]/12),2)</f>
        <v>5743.92</v>
      </c>
      <c r="R7" s="6" t="str">
        <f>_xlfn.TEXTJOIN(" ",FALSE,"$",TEXT(ApplicationTracker[[#This Row],[M-L]],"#,##0.00"),"-","$",TEXT(ApplicationTracker[[#This Row],[M-H]],"#,##0.00"))</f>
        <v>$ 4,309.33 - $ 5,743.92</v>
      </c>
      <c r="S7" s="5" cm="1">
        <f t="array" ref="S7">IF(ApplicationTracker[[#This Row],[Salaried]]="Yes",ApplicationTracker[[#This Row],[Low]],ApplicationTracker[[#This Row],[M-L]]*12)</f>
        <v>51712</v>
      </c>
      <c r="T7" s="5" cm="1">
        <f t="array" ref="T7">IF(ApplicationTracker[[#This Row],[Salaried]]="Yes",ApplicationTracker[[#This Row],[High]],ApplicationTracker[[#This Row],[M-H]]*12)</f>
        <v>68927</v>
      </c>
      <c r="U7" s="6" t="str">
        <f>_xlfn.TEXTJOIN(" ",FALSE,"$",TEXT(ApplicationTracker[[#This Row],[Y-L]],"#,##0.00"),"-","$",TEXT(ApplicationTracker[[#This Row],[Y-H]],"#,##0.00"))</f>
        <v>$ 51,712.00 - $ 68,927.00</v>
      </c>
      <c r="V7" s="6">
        <v>0</v>
      </c>
      <c r="W7">
        <v>8</v>
      </c>
      <c r="X7" s="1">
        <v>46022</v>
      </c>
      <c r="Y7" s="1" t="s">
        <v>29</v>
      </c>
      <c r="Z7" s="3" t="s">
        <v>190</v>
      </c>
      <c r="AA7" t="str">
        <f>_xlfn.TEXTJOIN("",FALSE,LEFT(ApplicationTracker[[#This Row],[Company]],2),DEC2HEX(ApplicationTracker[[#This Row],[Date]]),DEC2HEX(ApplicationTracker[[#This Row],[Updated]]),LEFT(ApplicationTracker[[#This Row],[Job Title]],2),ApplicationTracker[[#This Row],[Want]]*ApplicationTracker[[#This Row],[Likely]])</f>
        <v>MaB3C6B3C6IT0</v>
      </c>
    </row>
    <row r="8" spans="1:27" x14ac:dyDescent="0.4">
      <c r="A8" s="2">
        <v>46021</v>
      </c>
      <c r="B8" s="2">
        <v>45986</v>
      </c>
      <c r="C8" s="9">
        <f ca="1">IF(ISBLANK(ApplicationTracker[[#This Row],[Posted]]),"Unknown",TODAY()-ApplicationTracker[[#This Row],[Posted]])</f>
        <v>59</v>
      </c>
      <c r="D8" s="9">
        <f ca="1">TODAY()-ApplicationTracker[[#This Row],[Date]]</f>
        <v>24</v>
      </c>
      <c r="E8" t="s">
        <v>22</v>
      </c>
      <c r="F8" t="s">
        <v>149</v>
      </c>
      <c r="G8" t="s">
        <v>161</v>
      </c>
      <c r="H8" t="s">
        <v>18</v>
      </c>
      <c r="I8" t="e" vm="2">
        <v>#VALUE!</v>
      </c>
      <c r="J8" t="s">
        <v>11</v>
      </c>
      <c r="K8" s="4">
        <v>56838</v>
      </c>
      <c r="L8" s="4">
        <v>69286</v>
      </c>
      <c r="M8" s="4">
        <f>ROUND(IF(ApplicationTracker[[#This Row],[Salaried]]="No",ApplicationTracker[[#This Row],[Low]],ApplicationTracker[[#This Row],[Low]]/Fulltime40Year),2)</f>
        <v>27.33</v>
      </c>
      <c r="N8" s="4">
        <f>ROUND(IF(ApplicationTracker[[#This Row],[Salaried]]="No",ApplicationTracker[[#This Row],[High]],ApplicationTracker[[#This Row],[High]]/Fulltime40Year),2)</f>
        <v>33.31</v>
      </c>
      <c r="O8" s="6" t="str">
        <f>_xlfn.TEXTJOIN(" ",FALSE,"$",TEXT(ApplicationTracker[[#This Row],[H-L]],"#,##0.00"),"-","$",TEXT(ApplicationTracker[[#This Row],[H-H]],"#,##0.00"))</f>
        <v>$ 27.33 - $ 33.31</v>
      </c>
      <c r="P8" s="4">
        <f>ROUND(IF(ApplicationTracker[[#This Row],[Salaried]]="No",ApplicationTracker[[#This Row],[Low]]*Fulltime40Month,ApplicationTracker[[#This Row],[Y-L]]/12),2)</f>
        <v>4736.5</v>
      </c>
      <c r="Q8" s="4" cm="1">
        <f t="array" ref="Q8">ROUND(IF(ApplicationTracker[[#This Row],[Salaried]]="No",ApplicationTracker[[#This Row],[High]]*Fulltime40Month,ApplicationTracker[[#This Row],[Y-H]]/12),2)</f>
        <v>5773.83</v>
      </c>
      <c r="R8" s="6" t="str">
        <f>_xlfn.TEXTJOIN(" ",FALSE,"$",TEXT(ApplicationTracker[[#This Row],[M-L]],"#,##0.00"),"-","$",TEXT(ApplicationTracker[[#This Row],[M-H]],"#,##0.00"))</f>
        <v>$ 4,736.50 - $ 5,773.83</v>
      </c>
      <c r="S8" s="5" cm="1">
        <f t="array" ref="S8">IF(ApplicationTracker[[#This Row],[Salaried]]="Yes",ApplicationTracker[[#This Row],[Low]],ApplicationTracker[[#This Row],[M-L]]*12)</f>
        <v>56838</v>
      </c>
      <c r="T8" s="5" cm="1">
        <f t="array" ref="T8">IF(ApplicationTracker[[#This Row],[Salaried]]="Yes",ApplicationTracker[[#This Row],[High]],ApplicationTracker[[#This Row],[M-H]]*12)</f>
        <v>69286</v>
      </c>
      <c r="U8" s="6" t="str">
        <f>_xlfn.TEXTJOIN(" ",FALSE,"$",TEXT(ApplicationTracker[[#This Row],[Y-L]],"#,##0.00"),"-","$",TEXT(ApplicationTracker[[#This Row],[Y-H]],"#,##0.00"))</f>
        <v>$ 56,838.00 - $ 69,286.00</v>
      </c>
      <c r="V8" s="6">
        <v>1</v>
      </c>
      <c r="W8">
        <v>8</v>
      </c>
      <c r="X8" s="1">
        <v>46021</v>
      </c>
      <c r="Y8" s="1" t="s">
        <v>29</v>
      </c>
      <c r="Z8" s="3" t="s">
        <v>163</v>
      </c>
      <c r="AA8" t="str">
        <f>_xlfn.TEXTJOIN("",FALSE,LEFT(ApplicationTracker[[#This Row],[Company]],2),DEC2HEX(ApplicationTracker[[#This Row],[Date]]),DEC2HEX(ApplicationTracker[[#This Row],[Updated]]),LEFT(ApplicationTracker[[#This Row],[Job Title]],2),ApplicationTracker[[#This Row],[Want]]*ApplicationTracker[[#This Row],[Likely]])</f>
        <v>StB3C5B3C5Jr8</v>
      </c>
    </row>
    <row r="9" spans="1:27" x14ac:dyDescent="0.4">
      <c r="A9" s="2">
        <v>46015</v>
      </c>
      <c r="B9" s="2"/>
      <c r="C9" s="9" t="str">
        <f ca="1">IF(ISBLANK(ApplicationTracker[[#This Row],[Posted]]),"Unknown",TODAY()-ApplicationTracker[[#This Row],[Posted]])</f>
        <v>Unknown</v>
      </c>
      <c r="D9" s="9">
        <f ca="1">TODAY()-ApplicationTracker[[#This Row],[Date]]</f>
        <v>30</v>
      </c>
      <c r="E9" t="s">
        <v>22</v>
      </c>
      <c r="F9" t="s">
        <v>129</v>
      </c>
      <c r="G9" t="s">
        <v>130</v>
      </c>
      <c r="H9" t="s">
        <v>18</v>
      </c>
      <c r="I9" t="e" vm="1">
        <v>#VALUE!</v>
      </c>
      <c r="J9" t="s">
        <v>13</v>
      </c>
      <c r="K9" s="4">
        <v>17.25</v>
      </c>
      <c r="L9" s="4">
        <v>17.25</v>
      </c>
      <c r="M9" s="4">
        <f>ROUND(IF(ApplicationTracker[[#This Row],[Salaried]]="No",ApplicationTracker[[#This Row],[Low]],ApplicationTracker[[#This Row],[Low]]/Fulltime40Year),2)</f>
        <v>17.25</v>
      </c>
      <c r="N9" s="4">
        <f>ROUND(IF(ApplicationTracker[[#This Row],[Salaried]]="No",ApplicationTracker[[#This Row],[High]],ApplicationTracker[[#This Row],[High]]/Fulltime40Year),2)</f>
        <v>17.25</v>
      </c>
      <c r="O9" s="6" t="str">
        <f>_xlfn.TEXTJOIN(" ",FALSE,"$",TEXT(ApplicationTracker[[#This Row],[H-L]],"#,##0.00"),"-","$",TEXT(ApplicationTracker[[#This Row],[H-H]],"#,##0.00"))</f>
        <v>$ 17.25 - $ 17.25</v>
      </c>
      <c r="P9" s="4">
        <f>ROUND(IF(ApplicationTracker[[#This Row],[Salaried]]="No",ApplicationTracker[[#This Row],[Low]]*Fulltime40Month,ApplicationTracker[[#This Row],[Y-L]]/12),2)</f>
        <v>2760</v>
      </c>
      <c r="Q9" s="4" cm="1">
        <f t="array" ref="Q9">ROUND(IF(ApplicationTracker[[#This Row],[Salaried]]="No",ApplicationTracker[[#This Row],[High]]*Fulltime40Month,ApplicationTracker[[#This Row],[Y-H]]/12),2)</f>
        <v>2760</v>
      </c>
      <c r="R9" s="6" t="str">
        <f>_xlfn.TEXTJOIN(" ",FALSE,"$",TEXT(ApplicationTracker[[#This Row],[M-L]],"#,##0.00"),"-","$",TEXT(ApplicationTracker[[#This Row],[M-H]],"#,##0.00"))</f>
        <v>$ 2,760.00 - $ 2,760.00</v>
      </c>
      <c r="S9" s="5" cm="1">
        <f t="array" ref="S9">IF(ApplicationTracker[[#This Row],[Salaried]]="Yes",ApplicationTracker[[#This Row],[Low]],ApplicationTracker[[#This Row],[M-L]]*12)</f>
        <v>33120</v>
      </c>
      <c r="T9" s="5" cm="1">
        <f t="array" ref="T9">IF(ApplicationTracker[[#This Row],[Salaried]]="Yes",ApplicationTracker[[#This Row],[High]],ApplicationTracker[[#This Row],[M-H]]*12)</f>
        <v>33120</v>
      </c>
      <c r="U9" s="6" t="str">
        <f>_xlfn.TEXTJOIN(" ",FALSE,"$",TEXT(ApplicationTracker[[#This Row],[Y-L]],"#,##0.00"),"-","$",TEXT(ApplicationTracker[[#This Row],[Y-H]],"#,##0.00"))</f>
        <v>$ 33,120.00 - $ 33,120.00</v>
      </c>
      <c r="V9" s="6">
        <v>1</v>
      </c>
      <c r="W9">
        <v>8</v>
      </c>
      <c r="X9" s="1">
        <v>46018</v>
      </c>
      <c r="Y9" s="1" t="s">
        <v>31</v>
      </c>
      <c r="Z9" s="3" t="s">
        <v>131</v>
      </c>
      <c r="AA9" t="str">
        <f>_xlfn.TEXTJOIN("",FALSE,LEFT(ApplicationTracker[[#This Row],[Company]],2),DEC2HEX(ApplicationTracker[[#This Row],[Date]]),DEC2HEX(ApplicationTracker[[#This Row],[Updated]]),LEFT(ApplicationTracker[[#This Row],[Job Title]],2),ApplicationTracker[[#This Row],[Want]]*ApplicationTracker[[#This Row],[Likely]])</f>
        <v>TuB3BFB3C2In8</v>
      </c>
    </row>
    <row r="10" spans="1:27" x14ac:dyDescent="0.4">
      <c r="A10" s="2">
        <v>46014</v>
      </c>
      <c r="B10" s="2"/>
      <c r="C10" s="9" t="str">
        <f ca="1">IF(ISBLANK(ApplicationTracker[[#This Row],[Posted]]),"Unknown",TODAY()-ApplicationTracker[[#This Row],[Posted]])</f>
        <v>Unknown</v>
      </c>
      <c r="D10" s="9">
        <f ca="1">TODAY()-ApplicationTracker[[#This Row],[Date]]</f>
        <v>31</v>
      </c>
      <c r="E10" t="s">
        <v>22</v>
      </c>
      <c r="F10" t="s">
        <v>73</v>
      </c>
      <c r="G10" t="s">
        <v>89</v>
      </c>
      <c r="H10" t="s">
        <v>18</v>
      </c>
      <c r="I10" t="e" vm="3">
        <v>#VALUE!</v>
      </c>
      <c r="J10" t="s">
        <v>13</v>
      </c>
      <c r="K10" s="4">
        <v>26</v>
      </c>
      <c r="L10" s="4">
        <v>29</v>
      </c>
      <c r="M10" s="4">
        <f>ROUND(IF(ApplicationTracker[[#This Row],[Salaried]]="No",ApplicationTracker[[#This Row],[Low]],ApplicationTracker[[#This Row],[Low]]/Fulltime40Year),2)</f>
        <v>26</v>
      </c>
      <c r="N10" s="4">
        <f>ROUND(IF(ApplicationTracker[[#This Row],[Salaried]]="No",ApplicationTracker[[#This Row],[High]],ApplicationTracker[[#This Row],[High]]/Fulltime40Year),2)</f>
        <v>29</v>
      </c>
      <c r="O10" s="6" t="str">
        <f>_xlfn.TEXTJOIN(" ",FALSE,"$",TEXT(ApplicationTracker[[#This Row],[H-L]],"#,##0.00"),"-","$",TEXT(ApplicationTracker[[#This Row],[H-H]],"#,##0.00"))</f>
        <v>$ 26.00 - $ 29.00</v>
      </c>
      <c r="P10" s="4">
        <f>ROUND(IF(ApplicationTracker[[#This Row],[Salaried]]="No",ApplicationTracker[[#This Row],[Low]]*Fulltime40Month,ApplicationTracker[[#This Row],[Y-L]]/12),2)</f>
        <v>4160</v>
      </c>
      <c r="Q10" s="4" cm="1">
        <f t="array" ref="Q10">ROUND(IF(ApplicationTracker[[#This Row],[Salaried]]="No",ApplicationTracker[[#This Row],[High]]*Fulltime40Month,ApplicationTracker[[#This Row],[Y-H]]/12),2)</f>
        <v>4640</v>
      </c>
      <c r="R10" s="6" t="str">
        <f>_xlfn.TEXTJOIN(" ",FALSE,"$",TEXT(ApplicationTracker[[#This Row],[M-L]],"#,##0.00"),"-","$",TEXT(ApplicationTracker[[#This Row],[M-H]],"#,##0.00"))</f>
        <v>$ 4,160.00 - $ 4,640.00</v>
      </c>
      <c r="S10" s="5" cm="1">
        <f t="array" ref="S10">IF(ApplicationTracker[[#This Row],[Salaried]]="Yes",ApplicationTracker[[#This Row],[Low]],ApplicationTracker[[#This Row],[M-L]]*12)</f>
        <v>49920</v>
      </c>
      <c r="T10" s="5" cm="1">
        <f t="array" ref="T10">IF(ApplicationTracker[[#This Row],[Salaried]]="Yes",ApplicationTracker[[#This Row],[High]],ApplicationTracker[[#This Row],[M-H]]*12)</f>
        <v>55680</v>
      </c>
      <c r="U10" s="6" t="str">
        <f>_xlfn.TEXTJOIN(" ",FALSE,"$",TEXT(ApplicationTracker[[#This Row],[Y-L]],"#,##0.00"),"-","$",TEXT(ApplicationTracker[[#This Row],[Y-H]],"#,##0.00"))</f>
        <v>$ 49,920.00 - $ 55,680.00</v>
      </c>
      <c r="V10" s="6">
        <v>6</v>
      </c>
      <c r="W10">
        <v>8</v>
      </c>
      <c r="X10" s="1">
        <v>46017</v>
      </c>
      <c r="Y10" s="1" t="s">
        <v>31</v>
      </c>
      <c r="Z10" s="3" t="s">
        <v>90</v>
      </c>
      <c r="AA10" t="str">
        <f>_xlfn.TEXTJOIN("",FALSE,LEFT(ApplicationTracker[[#This Row],[Company]],2),DEC2HEX(ApplicationTracker[[#This Row],[Date]]),DEC2HEX(ApplicationTracker[[#This Row],[Updated]]),LEFT(ApplicationTracker[[#This Row],[Job Title]],2),ApplicationTracker[[#This Row],[Want]]*ApplicationTracker[[#This Row],[Likely]])</f>
        <v>CiB3BEB3C1He48</v>
      </c>
    </row>
    <row r="11" spans="1:27" x14ac:dyDescent="0.4">
      <c r="A11" s="2">
        <v>46014</v>
      </c>
      <c r="B11" s="2"/>
      <c r="C11" s="9" t="str">
        <f ca="1">IF(ISBLANK(ApplicationTracker[[#This Row],[Posted]]),"Unknown",TODAY()-ApplicationTracker[[#This Row],[Posted]])</f>
        <v>Unknown</v>
      </c>
      <c r="D11" s="9">
        <f ca="1">TODAY()-ApplicationTracker[[#This Row],[Date]]</f>
        <v>31</v>
      </c>
      <c r="E11" t="s">
        <v>22</v>
      </c>
      <c r="F11" t="s">
        <v>111</v>
      </c>
      <c r="G11" t="s">
        <v>112</v>
      </c>
      <c r="H11" t="s">
        <v>18</v>
      </c>
      <c r="I11" t="e" vm="4">
        <v>#VALUE!</v>
      </c>
      <c r="J11" t="s">
        <v>11</v>
      </c>
      <c r="K11" s="4">
        <v>40000</v>
      </c>
      <c r="L11" s="4">
        <v>55000</v>
      </c>
      <c r="M11" s="4">
        <f>ROUND(IF(ApplicationTracker[[#This Row],[Salaried]]="No",ApplicationTracker[[#This Row],[Low]],ApplicationTracker[[#This Row],[Low]]/Fulltime40Year),2)</f>
        <v>19.23</v>
      </c>
      <c r="N11" s="4">
        <f>ROUND(IF(ApplicationTracker[[#This Row],[Salaried]]="No",ApplicationTracker[[#This Row],[High]],ApplicationTracker[[#This Row],[High]]/Fulltime40Year),2)</f>
        <v>26.44</v>
      </c>
      <c r="O11" s="6" t="str">
        <f>_xlfn.TEXTJOIN(" ",FALSE,"$",TEXT(ApplicationTracker[[#This Row],[H-L]],"#,##0.00"),"-","$",TEXT(ApplicationTracker[[#This Row],[H-H]],"#,##0.00"))</f>
        <v>$ 19.23 - $ 26.44</v>
      </c>
      <c r="P11" s="4">
        <f>ROUND(IF(ApplicationTracker[[#This Row],[Salaried]]="No",ApplicationTracker[[#This Row],[Low]]*Fulltime40Month,ApplicationTracker[[#This Row],[Y-L]]/12),2)</f>
        <v>3333.33</v>
      </c>
      <c r="Q11" s="4" cm="1">
        <f t="array" ref="Q11">ROUND(IF(ApplicationTracker[[#This Row],[Salaried]]="No",ApplicationTracker[[#This Row],[High]]*Fulltime40Month,ApplicationTracker[[#This Row],[Y-H]]/12),2)</f>
        <v>4583.33</v>
      </c>
      <c r="R11" s="6" t="str">
        <f>_xlfn.TEXTJOIN(" ",FALSE,"$",TEXT(ApplicationTracker[[#This Row],[M-L]],"#,##0.00"),"-","$",TEXT(ApplicationTracker[[#This Row],[M-H]],"#,##0.00"))</f>
        <v>$ 3,333.33 - $ 4,583.33</v>
      </c>
      <c r="S11" s="5" cm="1">
        <f t="array" ref="S11">IF(ApplicationTracker[[#This Row],[Salaried]]="Yes",ApplicationTracker[[#This Row],[Low]],ApplicationTracker[[#This Row],[M-L]]*12)</f>
        <v>40000</v>
      </c>
      <c r="T11" s="5" cm="1">
        <f t="array" ref="T11">IF(ApplicationTracker[[#This Row],[Salaried]]="Yes",ApplicationTracker[[#This Row],[High]],ApplicationTracker[[#This Row],[M-H]]*12)</f>
        <v>55000</v>
      </c>
      <c r="U11" s="6" t="str">
        <f>_xlfn.TEXTJOIN(" ",FALSE,"$",TEXT(ApplicationTracker[[#This Row],[Y-L]],"#,##0.00"),"-","$",TEXT(ApplicationTracker[[#This Row],[Y-H]],"#,##0.00"))</f>
        <v>$ 40,000.00 - $ 55,000.00</v>
      </c>
      <c r="V11" s="6">
        <v>3</v>
      </c>
      <c r="W11">
        <v>8</v>
      </c>
      <c r="X11" s="1">
        <v>46017</v>
      </c>
      <c r="Y11" s="1" t="s">
        <v>31</v>
      </c>
      <c r="Z11" s="3" t="s">
        <v>113</v>
      </c>
      <c r="AA11" t="str">
        <f>_xlfn.TEXTJOIN("",FALSE,LEFT(ApplicationTracker[[#This Row],[Company]],2),DEC2HEX(ApplicationTracker[[#This Row],[Date]]),DEC2HEX(ApplicationTracker[[#This Row],[Updated]]),LEFT(ApplicationTracker[[#This Row],[Job Title]],2),ApplicationTracker[[#This Row],[Want]]*ApplicationTracker[[#This Row],[Likely]])</f>
        <v>GaB3BEB3C1IT24</v>
      </c>
    </row>
    <row r="12" spans="1:27" x14ac:dyDescent="0.4">
      <c r="A12" s="2">
        <v>46014</v>
      </c>
      <c r="B12" s="2"/>
      <c r="C12" s="9" t="str">
        <f ca="1">IF(ISBLANK(ApplicationTracker[[#This Row],[Posted]]),"Unknown",TODAY()-ApplicationTracker[[#This Row],[Posted]])</f>
        <v>Unknown</v>
      </c>
      <c r="D12" s="9">
        <f ca="1">TODAY()-ApplicationTracker[[#This Row],[Date]]</f>
        <v>31</v>
      </c>
      <c r="E12" t="s">
        <v>22</v>
      </c>
      <c r="F12" t="s">
        <v>94</v>
      </c>
      <c r="G12" t="s">
        <v>95</v>
      </c>
      <c r="H12" t="s">
        <v>18</v>
      </c>
      <c r="I12" t="e" vm="5">
        <v>#VALUE!</v>
      </c>
      <c r="J12" t="s">
        <v>11</v>
      </c>
      <c r="K12" s="4">
        <v>50000</v>
      </c>
      <c r="L12" s="4">
        <v>60000</v>
      </c>
      <c r="M12" s="4">
        <f>ROUND(IF(ApplicationTracker[[#This Row],[Salaried]]="No",ApplicationTracker[[#This Row],[Low]],ApplicationTracker[[#This Row],[Low]]/Fulltime40Year),2)</f>
        <v>24.04</v>
      </c>
      <c r="N12" s="4">
        <f>ROUND(IF(ApplicationTracker[[#This Row],[Salaried]]="No",ApplicationTracker[[#This Row],[High]],ApplicationTracker[[#This Row],[High]]/Fulltime40Year),2)</f>
        <v>28.85</v>
      </c>
      <c r="O12" s="6" t="str">
        <f>_xlfn.TEXTJOIN(" ",FALSE,"$",TEXT(ApplicationTracker[[#This Row],[H-L]],"#,##0.00"),"-","$",TEXT(ApplicationTracker[[#This Row],[H-H]],"#,##0.00"))</f>
        <v>$ 24.04 - $ 28.85</v>
      </c>
      <c r="P12" s="4">
        <f>ROUND(IF(ApplicationTracker[[#This Row],[Salaried]]="No",ApplicationTracker[[#This Row],[Low]]*Fulltime40Month,ApplicationTracker[[#This Row],[Y-L]]/12),2)</f>
        <v>4166.67</v>
      </c>
      <c r="Q12" s="4" cm="1">
        <f t="array" ref="Q12">ROUND(IF(ApplicationTracker[[#This Row],[Salaried]]="No",ApplicationTracker[[#This Row],[High]]*Fulltime40Month,ApplicationTracker[[#This Row],[Y-H]]/12),2)</f>
        <v>5000</v>
      </c>
      <c r="R12" s="6" t="str">
        <f>_xlfn.TEXTJOIN(" ",FALSE,"$",TEXT(ApplicationTracker[[#This Row],[M-L]],"#,##0.00"),"-","$",TEXT(ApplicationTracker[[#This Row],[M-H]],"#,##0.00"))</f>
        <v>$ 4,166.67 - $ 5,000.00</v>
      </c>
      <c r="S12" s="5" cm="1">
        <f t="array" ref="S12">IF(ApplicationTracker[[#This Row],[Salaried]]="Yes",ApplicationTracker[[#This Row],[Low]],ApplicationTracker[[#This Row],[M-L]]*12)</f>
        <v>50000</v>
      </c>
      <c r="T12" s="5" cm="1">
        <f t="array" ref="T12">IF(ApplicationTracker[[#This Row],[Salaried]]="Yes",ApplicationTracker[[#This Row],[High]],ApplicationTracker[[#This Row],[M-H]]*12)</f>
        <v>60000</v>
      </c>
      <c r="U12" s="6" t="str">
        <f>_xlfn.TEXTJOIN(" ",FALSE,"$",TEXT(ApplicationTracker[[#This Row],[Y-L]],"#,##0.00"),"-","$",TEXT(ApplicationTracker[[#This Row],[Y-H]],"#,##0.00"))</f>
        <v>$ 50,000.00 - $ 60,000.00</v>
      </c>
      <c r="V12" s="6">
        <v>1</v>
      </c>
      <c r="W12">
        <v>8</v>
      </c>
      <c r="X12" s="1">
        <v>46017</v>
      </c>
      <c r="Y12" s="1" t="s">
        <v>31</v>
      </c>
      <c r="Z12" s="3" t="s">
        <v>96</v>
      </c>
      <c r="AA12" t="str">
        <f>_xlfn.TEXTJOIN("",FALSE,LEFT(ApplicationTracker[[#This Row],[Company]],2),DEC2HEX(ApplicationTracker[[#This Row],[Date]]),DEC2HEX(ApplicationTracker[[#This Row],[Updated]]),LEFT(ApplicationTracker[[#This Row],[Job Title]],2),ApplicationTracker[[#This Row],[Want]]*ApplicationTracker[[#This Row],[Likely]])</f>
        <v>TrB3BEB3C1In8</v>
      </c>
    </row>
    <row r="13" spans="1:27" x14ac:dyDescent="0.4">
      <c r="A13" s="2">
        <v>46020</v>
      </c>
      <c r="B13" s="2"/>
      <c r="C13" s="9" t="str">
        <f ca="1">IF(ISBLANK(ApplicationTracker[[#This Row],[Posted]]),"Unknown",TODAY()-ApplicationTracker[[#This Row],[Posted]])</f>
        <v>Unknown</v>
      </c>
      <c r="D13" s="9">
        <f ca="1">TODAY()-ApplicationTracker[[#This Row],[Date]]</f>
        <v>25</v>
      </c>
      <c r="E13" t="s">
        <v>22</v>
      </c>
      <c r="F13" t="s">
        <v>156</v>
      </c>
      <c r="G13" t="s">
        <v>157</v>
      </c>
      <c r="H13" t="s">
        <v>19</v>
      </c>
      <c r="I13" t="e" vm="6">
        <v>#VALUE!</v>
      </c>
      <c r="J13" t="s">
        <v>11</v>
      </c>
      <c r="K13" s="4"/>
      <c r="L13" s="4"/>
      <c r="M13" s="4">
        <f>ROUND(IF(ApplicationTracker[[#This Row],[Salaried]]="No",ApplicationTracker[[#This Row],[Low]],ApplicationTracker[[#This Row],[Low]]/Fulltime40Year),2)</f>
        <v>0</v>
      </c>
      <c r="N13" s="4">
        <f>ROUND(IF(ApplicationTracker[[#This Row],[Salaried]]="No",ApplicationTracker[[#This Row],[High]],ApplicationTracker[[#This Row],[High]]/Fulltime40Year),2)</f>
        <v>0</v>
      </c>
      <c r="O13" s="6" t="str">
        <f>_xlfn.TEXTJOIN(" ",FALSE,"$",TEXT(ApplicationTracker[[#This Row],[H-L]],"#,##0.00"),"-","$",TEXT(ApplicationTracker[[#This Row],[H-H]],"#,##0.00"))</f>
        <v>$ 0.00 - $ 0.00</v>
      </c>
      <c r="P13" s="4">
        <f>ROUND(IF(ApplicationTracker[[#This Row],[Salaried]]="No",ApplicationTracker[[#This Row],[Low]]*Fulltime40Month,ApplicationTracker[[#This Row],[Y-L]]/12),2)</f>
        <v>0</v>
      </c>
      <c r="Q13" s="4" cm="1">
        <f t="array" ref="Q13">ROUND(IF(ApplicationTracker[[#This Row],[Salaried]]="No",ApplicationTracker[[#This Row],[High]]*Fulltime40Month,ApplicationTracker[[#This Row],[Y-H]]/12),2)</f>
        <v>0</v>
      </c>
      <c r="R13" s="6" t="str">
        <f>_xlfn.TEXTJOIN(" ",FALSE,"$",TEXT(ApplicationTracker[[#This Row],[M-L]],"#,##0.00"),"-","$",TEXT(ApplicationTracker[[#This Row],[M-H]],"#,##0.00"))</f>
        <v>$ 0.00 - $ 0.00</v>
      </c>
      <c r="S13" s="5" cm="1">
        <f t="array" ref="S13">IF(ApplicationTracker[[#This Row],[Salaried]]="Yes",ApplicationTracker[[#This Row],[Low]],ApplicationTracker[[#This Row],[M-L]]*12)</f>
        <v>0</v>
      </c>
      <c r="T13" s="5" cm="1">
        <f t="array" ref="T13">IF(ApplicationTracker[[#This Row],[Salaried]]="Yes",ApplicationTracker[[#This Row],[High]],ApplicationTracker[[#This Row],[M-H]]*12)</f>
        <v>0</v>
      </c>
      <c r="U13" s="6" t="str">
        <f>_xlfn.TEXTJOIN(" ",FALSE,"$",TEXT(ApplicationTracker[[#This Row],[Y-L]],"#,##0.00"),"-","$",TEXT(ApplicationTracker[[#This Row],[Y-H]],"#,##0.00"))</f>
        <v>$ 0.00 - $ 0.00</v>
      </c>
      <c r="V13" s="6">
        <v>3</v>
      </c>
      <c r="W13">
        <v>7</v>
      </c>
      <c r="X13" s="1">
        <v>46020</v>
      </c>
      <c r="Y13" s="1" t="s">
        <v>29</v>
      </c>
      <c r="Z13" s="3" t="s">
        <v>155</v>
      </c>
      <c r="AA13" t="str">
        <f>_xlfn.TEXTJOIN("",FALSE,LEFT(ApplicationTracker[[#This Row],[Company]],2),DEC2HEX(ApplicationTracker[[#This Row],[Date]]),DEC2HEX(ApplicationTracker[[#This Row],[Updated]]),LEFT(ApplicationTracker[[#This Row],[Job Title]],2),ApplicationTracker[[#This Row],[Want]]*ApplicationTracker[[#This Row],[Likely]])</f>
        <v>SDB3C4B3C4Le21</v>
      </c>
    </row>
    <row r="14" spans="1:27" x14ac:dyDescent="0.4">
      <c r="A14" s="2">
        <v>46018</v>
      </c>
      <c r="B14" s="2"/>
      <c r="C14" s="9" t="str">
        <f ca="1">IF(ISBLANK(ApplicationTracker[[#This Row],[Posted]]),"Unknown",TODAY()-ApplicationTracker[[#This Row],[Posted]])</f>
        <v>Unknown</v>
      </c>
      <c r="D14" s="9">
        <f ca="1">TODAY()-ApplicationTracker[[#This Row],[Date]]</f>
        <v>27</v>
      </c>
      <c r="E14" t="s">
        <v>22</v>
      </c>
      <c r="F14" t="s">
        <v>121</v>
      </c>
      <c r="G14" t="s">
        <v>122</v>
      </c>
      <c r="H14" t="s">
        <v>20</v>
      </c>
      <c r="I14" t="e" vm="7">
        <v>#VALUE!</v>
      </c>
      <c r="J14" t="s">
        <v>11</v>
      </c>
      <c r="K14" s="4">
        <v>59150</v>
      </c>
      <c r="L14" s="4">
        <v>106925</v>
      </c>
      <c r="M14" s="4">
        <f>ROUND(IF(ApplicationTracker[[#This Row],[Salaried]]="No",ApplicationTracker[[#This Row],[Low]],ApplicationTracker[[#This Row],[Low]]/Fulltime40Year),2)</f>
        <v>28.44</v>
      </c>
      <c r="N14" s="4">
        <f>ROUND(IF(ApplicationTracker[[#This Row],[Salaried]]="No",ApplicationTracker[[#This Row],[High]],ApplicationTracker[[#This Row],[High]]/Fulltime40Year),2)</f>
        <v>51.41</v>
      </c>
      <c r="O14" s="6" t="str">
        <f>_xlfn.TEXTJOIN(" ",FALSE,"$",TEXT(ApplicationTracker[[#This Row],[H-L]],"#,##0.00"),"-","$",TEXT(ApplicationTracker[[#This Row],[H-H]],"#,##0.00"))</f>
        <v>$ 28.44 - $ 51.41</v>
      </c>
      <c r="P14" s="4">
        <f>ROUND(IF(ApplicationTracker[[#This Row],[Salaried]]="No",ApplicationTracker[[#This Row],[Low]]*Fulltime40Month,ApplicationTracker[[#This Row],[Y-L]]/12),2)</f>
        <v>4929.17</v>
      </c>
      <c r="Q14" s="4" cm="1">
        <f t="array" ref="Q14">ROUND(IF(ApplicationTracker[[#This Row],[Salaried]]="No",ApplicationTracker[[#This Row],[High]]*Fulltime40Month,ApplicationTracker[[#This Row],[Y-H]]/12),2)</f>
        <v>8910.42</v>
      </c>
      <c r="R14" s="6" t="str">
        <f>_xlfn.TEXTJOIN(" ",FALSE,"$",TEXT(ApplicationTracker[[#This Row],[M-L]],"#,##0.00"),"-","$",TEXT(ApplicationTracker[[#This Row],[M-H]],"#,##0.00"))</f>
        <v>$ 4,929.17 - $ 8,910.42</v>
      </c>
      <c r="S14" s="5" cm="1">
        <f t="array" ref="S14">IF(ApplicationTracker[[#This Row],[Salaried]]="Yes",ApplicationTracker[[#This Row],[Low]],ApplicationTracker[[#This Row],[M-L]]*12)</f>
        <v>59150</v>
      </c>
      <c r="T14" s="5" cm="1">
        <f t="array" ref="T14">IF(ApplicationTracker[[#This Row],[Salaried]]="Yes",ApplicationTracker[[#This Row],[High]],ApplicationTracker[[#This Row],[M-H]]*12)</f>
        <v>106925</v>
      </c>
      <c r="U14" s="6" t="str">
        <f>_xlfn.TEXTJOIN(" ",FALSE,"$",TEXT(ApplicationTracker[[#This Row],[Y-L]],"#,##0.00"),"-","$",TEXT(ApplicationTracker[[#This Row],[Y-H]],"#,##0.00"))</f>
        <v>$ 59,150.00 - $ 106,925.00</v>
      </c>
      <c r="V14" s="6">
        <v>0</v>
      </c>
      <c r="W14">
        <v>7</v>
      </c>
      <c r="X14" s="1">
        <v>46018</v>
      </c>
      <c r="Y14" s="1" t="s">
        <v>29</v>
      </c>
      <c r="Z14" s="3" t="s">
        <v>120</v>
      </c>
      <c r="AA14" t="str">
        <f>_xlfn.TEXTJOIN("",FALSE,LEFT(ApplicationTracker[[#This Row],[Company]],2),DEC2HEX(ApplicationTracker[[#This Row],[Date]]),DEC2HEX(ApplicationTracker[[#This Row],[Updated]]),LEFT(ApplicationTracker[[#This Row],[Job Title]],2),ApplicationTracker[[#This Row],[Want]]*ApplicationTracker[[#This Row],[Likely]])</f>
        <v>LeB3C2B3C2Jr0</v>
      </c>
    </row>
    <row r="15" spans="1:27" x14ac:dyDescent="0.4">
      <c r="A15" s="2">
        <v>46017</v>
      </c>
      <c r="B15" s="2"/>
      <c r="C15" s="9" t="str">
        <f ca="1">IF(ISBLANK(ApplicationTracker[[#This Row],[Posted]]),"Unknown",TODAY()-ApplicationTracker[[#This Row],[Posted]])</f>
        <v>Unknown</v>
      </c>
      <c r="D15" s="9">
        <f ca="1">TODAY()-ApplicationTracker[[#This Row],[Date]]</f>
        <v>28</v>
      </c>
      <c r="E15" t="s">
        <v>22</v>
      </c>
      <c r="F15" t="s">
        <v>117</v>
      </c>
      <c r="G15" t="s">
        <v>118</v>
      </c>
      <c r="H15" t="s">
        <v>20</v>
      </c>
      <c r="I15" t="e" vm="8">
        <v>#VALUE!</v>
      </c>
      <c r="J15" t="s">
        <v>11</v>
      </c>
      <c r="K15" s="4">
        <v>88000</v>
      </c>
      <c r="L15" s="4">
        <v>152000</v>
      </c>
      <c r="M15" s="4">
        <f>ROUND(IF(ApplicationTracker[[#This Row],[Salaried]]="No",ApplicationTracker[[#This Row],[Low]],ApplicationTracker[[#This Row],[Low]]/Fulltime40Year),2)</f>
        <v>42.31</v>
      </c>
      <c r="N15" s="4">
        <f>ROUND(IF(ApplicationTracker[[#This Row],[Salaried]]="No",ApplicationTracker[[#This Row],[High]],ApplicationTracker[[#This Row],[High]]/Fulltime40Year),2)</f>
        <v>73.08</v>
      </c>
      <c r="O15" s="6" t="str">
        <f>_xlfn.TEXTJOIN(" ",FALSE,"$",TEXT(ApplicationTracker[[#This Row],[H-L]],"#,##0.00"),"-","$",TEXT(ApplicationTracker[[#This Row],[H-H]],"#,##0.00"))</f>
        <v>$ 42.31 - $ 73.08</v>
      </c>
      <c r="P15" s="4">
        <f>ROUND(IF(ApplicationTracker[[#This Row],[Salaried]]="No",ApplicationTracker[[#This Row],[Low]]*Fulltime40Month,ApplicationTracker[[#This Row],[Y-L]]/12),2)</f>
        <v>7333.33</v>
      </c>
      <c r="Q15" s="4" cm="1">
        <f t="array" ref="Q15">ROUND(IF(ApplicationTracker[[#This Row],[Salaried]]="No",ApplicationTracker[[#This Row],[High]]*Fulltime40Month,ApplicationTracker[[#This Row],[Y-H]]/12),2)</f>
        <v>12666.67</v>
      </c>
      <c r="R15" s="6" t="str">
        <f>_xlfn.TEXTJOIN(" ",FALSE,"$",TEXT(ApplicationTracker[[#This Row],[M-L]],"#,##0.00"),"-","$",TEXT(ApplicationTracker[[#This Row],[M-H]],"#,##0.00"))</f>
        <v>$ 7,333.33 - $ 12,666.67</v>
      </c>
      <c r="S15" s="5" cm="1">
        <f t="array" ref="S15">IF(ApplicationTracker[[#This Row],[Salaried]]="Yes",ApplicationTracker[[#This Row],[Low]],ApplicationTracker[[#This Row],[M-L]]*12)</f>
        <v>88000</v>
      </c>
      <c r="T15" s="5" cm="1">
        <f t="array" ref="T15">IF(ApplicationTracker[[#This Row],[Salaried]]="Yes",ApplicationTracker[[#This Row],[High]],ApplicationTracker[[#This Row],[M-H]]*12)</f>
        <v>152000</v>
      </c>
      <c r="U15" s="6" t="str">
        <f>_xlfn.TEXTJOIN(" ",FALSE,"$",TEXT(ApplicationTracker[[#This Row],[Y-L]],"#,##0.00"),"-","$",TEXT(ApplicationTracker[[#This Row],[Y-H]],"#,##0.00"))</f>
        <v>$ 88,000.00 - $ 152,000.00</v>
      </c>
      <c r="V15" s="6">
        <v>2</v>
      </c>
      <c r="W15">
        <v>7</v>
      </c>
      <c r="X15" s="1">
        <v>46017</v>
      </c>
      <c r="Y15" s="1" t="s">
        <v>31</v>
      </c>
      <c r="Z15" s="3" t="s">
        <v>119</v>
      </c>
      <c r="AA15" t="str">
        <f>_xlfn.TEXTJOIN("",FALSE,LEFT(ApplicationTracker[[#This Row],[Company]],2),DEC2HEX(ApplicationTracker[[#This Row],[Date]]),DEC2HEX(ApplicationTracker[[#This Row],[Updated]]),LEFT(ApplicationTracker[[#This Row],[Job Title]],2),ApplicationTracker[[#This Row],[Want]]*ApplicationTracker[[#This Row],[Likely]])</f>
        <v>IBB3C1B3C1En14</v>
      </c>
    </row>
    <row r="16" spans="1:27" x14ac:dyDescent="0.4">
      <c r="A16" s="2">
        <v>46014</v>
      </c>
      <c r="B16" s="2"/>
      <c r="C16" s="9" t="str">
        <f ca="1">IF(ISBLANK(ApplicationTracker[[#This Row],[Posted]]),"Unknown",TODAY()-ApplicationTracker[[#This Row],[Posted]])</f>
        <v>Unknown</v>
      </c>
      <c r="D16" s="9">
        <f ca="1">TODAY()-ApplicationTracker[[#This Row],[Date]]</f>
        <v>31</v>
      </c>
      <c r="E16" t="s">
        <v>22</v>
      </c>
      <c r="F16" t="s">
        <v>102</v>
      </c>
      <c r="G16" t="s">
        <v>103</v>
      </c>
      <c r="H16" t="s">
        <v>18</v>
      </c>
      <c r="I16" t="e" vm="9">
        <v>#VALUE!</v>
      </c>
      <c r="J16" t="s">
        <v>13</v>
      </c>
      <c r="K16" s="4">
        <v>18</v>
      </c>
      <c r="L16" s="4">
        <v>30</v>
      </c>
      <c r="M16" s="4">
        <f>ROUND(IF(ApplicationTracker[[#This Row],[Salaried]]="No",ApplicationTracker[[#This Row],[Low]],ApplicationTracker[[#This Row],[Low]]/Fulltime40Year),2)</f>
        <v>18</v>
      </c>
      <c r="N16" s="4">
        <f>ROUND(IF(ApplicationTracker[[#This Row],[Salaried]]="No",ApplicationTracker[[#This Row],[High]],ApplicationTracker[[#This Row],[High]]/Fulltime40Year),2)</f>
        <v>30</v>
      </c>
      <c r="O16" s="6" t="str">
        <f>_xlfn.TEXTJOIN(" ",FALSE,"$",TEXT(ApplicationTracker[[#This Row],[H-L]],"#,##0.00"),"-","$",TEXT(ApplicationTracker[[#This Row],[H-H]],"#,##0.00"))</f>
        <v>$ 18.00 - $ 30.00</v>
      </c>
      <c r="P16" s="4">
        <f>ROUND(IF(ApplicationTracker[[#This Row],[Salaried]]="No",ApplicationTracker[[#This Row],[Low]]*Fulltime40Month,ApplicationTracker[[#This Row],[Y-L]]/12),2)</f>
        <v>2880</v>
      </c>
      <c r="Q16" s="4" cm="1">
        <f t="array" ref="Q16">ROUND(IF(ApplicationTracker[[#This Row],[Salaried]]="No",ApplicationTracker[[#This Row],[High]]*Fulltime40Month,ApplicationTracker[[#This Row],[Y-H]]/12),2)</f>
        <v>4800</v>
      </c>
      <c r="R16" s="6" t="str">
        <f>_xlfn.TEXTJOIN(" ",FALSE,"$",TEXT(ApplicationTracker[[#This Row],[M-L]],"#,##0.00"),"-","$",TEXT(ApplicationTracker[[#This Row],[M-H]],"#,##0.00"))</f>
        <v>$ 2,880.00 - $ 4,800.00</v>
      </c>
      <c r="S16" s="5" cm="1">
        <f t="array" ref="S16">IF(ApplicationTracker[[#This Row],[Salaried]]="Yes",ApplicationTracker[[#This Row],[Low]],ApplicationTracker[[#This Row],[M-L]]*12)</f>
        <v>34560</v>
      </c>
      <c r="T16" s="5" cm="1">
        <f t="array" ref="T16">IF(ApplicationTracker[[#This Row],[Salaried]]="Yes",ApplicationTracker[[#This Row],[High]],ApplicationTracker[[#This Row],[M-H]]*12)</f>
        <v>57600</v>
      </c>
      <c r="U16" s="6" t="str">
        <f>_xlfn.TEXTJOIN(" ",FALSE,"$",TEXT(ApplicationTracker[[#This Row],[Y-L]],"#,##0.00"),"-","$",TEXT(ApplicationTracker[[#This Row],[Y-H]],"#,##0.00"))</f>
        <v>$ 34,560.00 - $ 57,600.00</v>
      </c>
      <c r="V16" s="6">
        <v>2</v>
      </c>
      <c r="W16">
        <v>7</v>
      </c>
      <c r="X16" s="1">
        <v>46017</v>
      </c>
      <c r="Y16" s="1" t="s">
        <v>31</v>
      </c>
      <c r="Z16" s="3" t="s">
        <v>104</v>
      </c>
      <c r="AA16" t="str">
        <f>_xlfn.TEXTJOIN("",FALSE,LEFT(ApplicationTracker[[#This Row],[Company]],2),DEC2HEX(ApplicationTracker[[#This Row],[Date]]),DEC2HEX(ApplicationTracker[[#This Row],[Updated]]),LEFT(ApplicationTracker[[#This Row],[Job Title]],2),ApplicationTracker[[#This Row],[Want]]*ApplicationTracker[[#This Row],[Likely]])</f>
        <v>BeB3BEB3C1He14</v>
      </c>
    </row>
    <row r="17" spans="1:27" x14ac:dyDescent="0.4">
      <c r="A17" s="2">
        <v>46013</v>
      </c>
      <c r="B17" s="2"/>
      <c r="C17" s="9" t="str">
        <f ca="1">IF(ISBLANK(ApplicationTracker[[#This Row],[Posted]]),"Unknown",TODAY()-ApplicationTracker[[#This Row],[Posted]])</f>
        <v>Unknown</v>
      </c>
      <c r="D17" s="9">
        <f ca="1">TODAY()-ApplicationTracker[[#This Row],[Date]]</f>
        <v>32</v>
      </c>
      <c r="E17" t="s">
        <v>22</v>
      </c>
      <c r="F17" t="s">
        <v>70</v>
      </c>
      <c r="G17" t="s">
        <v>71</v>
      </c>
      <c r="H17" t="s">
        <v>18</v>
      </c>
      <c r="I17" t="e" vm="3">
        <v>#VALUE!</v>
      </c>
      <c r="J17" t="s">
        <v>11</v>
      </c>
      <c r="K17" s="4"/>
      <c r="L17" s="4"/>
      <c r="M17" s="4">
        <f>ROUND(IF(ApplicationTracker[[#This Row],[Salaried]]="No",ApplicationTracker[[#This Row],[Low]],ApplicationTracker[[#This Row],[Low]]/Fulltime40Year),2)</f>
        <v>0</v>
      </c>
      <c r="N17" s="4">
        <f>ROUND(IF(ApplicationTracker[[#This Row],[Salaried]]="No",ApplicationTracker[[#This Row],[High]],ApplicationTracker[[#This Row],[High]]/Fulltime40Year),2)</f>
        <v>0</v>
      </c>
      <c r="O17" s="6" t="str">
        <f>_xlfn.TEXTJOIN(" ",FALSE,"$",TEXT(ApplicationTracker[[#This Row],[H-L]],"#,##0.00"),"-","$",TEXT(ApplicationTracker[[#This Row],[H-H]],"#,##0.00"))</f>
        <v>$ 0.00 - $ 0.00</v>
      </c>
      <c r="P17" s="4">
        <f>ROUND(IF(ApplicationTracker[[#This Row],[Salaried]]="No",ApplicationTracker[[#This Row],[Low]]*Fulltime40Month,ApplicationTracker[[#This Row],[Y-L]]/12),2)</f>
        <v>0</v>
      </c>
      <c r="Q17" s="4" cm="1">
        <f t="array" ref="Q17">ROUND(IF(ApplicationTracker[[#This Row],[Salaried]]="No",ApplicationTracker[[#This Row],[High]]*Fulltime40Month,ApplicationTracker[[#This Row],[Y-H]]/12),2)</f>
        <v>0</v>
      </c>
      <c r="R17" s="6" t="str">
        <f>_xlfn.TEXTJOIN(" ",FALSE,"$",TEXT(ApplicationTracker[[#This Row],[M-L]],"#,##0.00"),"-","$",TEXT(ApplicationTracker[[#This Row],[M-H]],"#,##0.00"))</f>
        <v>$ 0.00 - $ 0.00</v>
      </c>
      <c r="S17" s="5" cm="1">
        <f t="array" ref="S17">IF(ApplicationTracker[[#This Row],[Salaried]]="Yes",ApplicationTracker[[#This Row],[Low]],ApplicationTracker[[#This Row],[M-L]]*12)</f>
        <v>0</v>
      </c>
      <c r="T17" s="5" cm="1">
        <f t="array" ref="T17">IF(ApplicationTracker[[#This Row],[Salaried]]="Yes",ApplicationTracker[[#This Row],[High]],ApplicationTracker[[#This Row],[M-H]]*12)</f>
        <v>0</v>
      </c>
      <c r="U17" s="6" t="str">
        <f>_xlfn.TEXTJOIN(" ",FALSE,"$",TEXT(ApplicationTracker[[#This Row],[Y-L]],"#,##0.00"),"-","$",TEXT(ApplicationTracker[[#This Row],[Y-H]],"#,##0.00"))</f>
        <v>$ 0.00 - $ 0.00</v>
      </c>
      <c r="V17" s="6">
        <v>2</v>
      </c>
      <c r="W17">
        <v>7</v>
      </c>
      <c r="X17" s="1">
        <v>46017</v>
      </c>
      <c r="Y17" s="1" t="s">
        <v>31</v>
      </c>
      <c r="Z17" s="3" t="s">
        <v>72</v>
      </c>
      <c r="AA17" t="str">
        <f>_xlfn.TEXTJOIN("",FALSE,LEFT(ApplicationTracker[[#This Row],[Company]],2),DEC2HEX(ApplicationTracker[[#This Row],[Date]]),DEC2HEX(ApplicationTracker[[#This Row],[Updated]]),LEFT(ApplicationTracker[[#This Row],[Job Title]],2),ApplicationTracker[[#This Row],[Want]]*ApplicationTracker[[#This Row],[Likely]])</f>
        <v>GoB3BDB3C1De14</v>
      </c>
    </row>
    <row r="18" spans="1:27" x14ac:dyDescent="0.4">
      <c r="A18" s="2">
        <v>46013</v>
      </c>
      <c r="B18" s="2"/>
      <c r="C18" s="9" t="str">
        <f ca="1">IF(ISBLANK(ApplicationTracker[[#This Row],[Posted]]),"Unknown",TODAY()-ApplicationTracker[[#This Row],[Posted]])</f>
        <v>Unknown</v>
      </c>
      <c r="D18" s="9">
        <f ca="1">TODAY()-ApplicationTracker[[#This Row],[Date]]</f>
        <v>32</v>
      </c>
      <c r="E18" t="s">
        <v>22</v>
      </c>
      <c r="F18" t="s">
        <v>73</v>
      </c>
      <c r="G18" t="s">
        <v>74</v>
      </c>
      <c r="H18" t="s">
        <v>18</v>
      </c>
      <c r="I18" t="e" vm="10">
        <v>#VALUE!</v>
      </c>
      <c r="J18" t="s">
        <v>11</v>
      </c>
      <c r="K18" s="4">
        <v>55000</v>
      </c>
      <c r="L18" s="4">
        <v>75000</v>
      </c>
      <c r="M18" s="4">
        <f>ROUND(IF(ApplicationTracker[[#This Row],[Salaried]]="No",ApplicationTracker[[#This Row],[Low]],ApplicationTracker[[#This Row],[Low]]/Fulltime40Year),2)</f>
        <v>26.44</v>
      </c>
      <c r="N18" s="4">
        <f>ROUND(IF(ApplicationTracker[[#This Row],[Salaried]]="No",ApplicationTracker[[#This Row],[High]],ApplicationTracker[[#This Row],[High]]/Fulltime40Year),2)</f>
        <v>36.06</v>
      </c>
      <c r="O18" s="6" t="str">
        <f>_xlfn.TEXTJOIN(" ",FALSE,"$",TEXT(ApplicationTracker[[#This Row],[H-L]],"#,##0.00"),"-","$",TEXT(ApplicationTracker[[#This Row],[H-H]],"#,##0.00"))</f>
        <v>$ 26.44 - $ 36.06</v>
      </c>
      <c r="P18" s="4">
        <f>ROUND(IF(ApplicationTracker[[#This Row],[Salaried]]="No",ApplicationTracker[[#This Row],[Low]]*Fulltime40Month,ApplicationTracker[[#This Row],[Y-L]]/12),2)</f>
        <v>4583.33</v>
      </c>
      <c r="Q18" s="4" cm="1">
        <f t="array" ref="Q18">ROUND(IF(ApplicationTracker[[#This Row],[Salaried]]="No",ApplicationTracker[[#This Row],[High]]*Fulltime40Month,ApplicationTracker[[#This Row],[Y-H]]/12),2)</f>
        <v>6250</v>
      </c>
      <c r="R18" s="6" t="str">
        <f>_xlfn.TEXTJOIN(" ",FALSE,"$",TEXT(ApplicationTracker[[#This Row],[M-L]],"#,##0.00"),"-","$",TEXT(ApplicationTracker[[#This Row],[M-H]],"#,##0.00"))</f>
        <v>$ 4,583.33 - $ 6,250.00</v>
      </c>
      <c r="S18" s="5" cm="1">
        <f t="array" ref="S18">IF(ApplicationTracker[[#This Row],[Salaried]]="Yes",ApplicationTracker[[#This Row],[Low]],ApplicationTracker[[#This Row],[M-L]]*12)</f>
        <v>55000</v>
      </c>
      <c r="T18" s="5" cm="1">
        <f t="array" ref="T18">IF(ApplicationTracker[[#This Row],[Salaried]]="Yes",ApplicationTracker[[#This Row],[High]],ApplicationTracker[[#This Row],[M-H]]*12)</f>
        <v>75000</v>
      </c>
      <c r="U18" s="6" t="str">
        <f>_xlfn.TEXTJOIN(" ",FALSE,"$",TEXT(ApplicationTracker[[#This Row],[Y-L]],"#,##0.00"),"-","$",TEXT(ApplicationTracker[[#This Row],[Y-H]],"#,##0.00"))</f>
        <v>$ 55,000.00 - $ 75,000.00</v>
      </c>
      <c r="V18" s="6">
        <v>5</v>
      </c>
      <c r="W18">
        <v>7</v>
      </c>
      <c r="X18" s="1">
        <v>46017</v>
      </c>
      <c r="Y18" s="1" t="s">
        <v>31</v>
      </c>
      <c r="Z18" s="3" t="s">
        <v>75</v>
      </c>
      <c r="AA18" t="str">
        <f>_xlfn.TEXTJOIN("",FALSE,LEFT(ApplicationTracker[[#This Row],[Company]],2),DEC2HEX(ApplicationTracker[[#This Row],[Date]]),DEC2HEX(ApplicationTracker[[#This Row],[Updated]]),LEFT(ApplicationTracker[[#This Row],[Job Title]],2),ApplicationTracker[[#This Row],[Want]]*ApplicationTracker[[#This Row],[Likely]])</f>
        <v>PRB3BDB3C1He35</v>
      </c>
    </row>
    <row r="19" spans="1:27" x14ac:dyDescent="0.4">
      <c r="A19" s="2">
        <v>46009</v>
      </c>
      <c r="B19" s="2"/>
      <c r="C19" s="9" t="str">
        <f ca="1">IF(ISBLANK(ApplicationTracker[[#This Row],[Posted]]),"Unknown",TODAY()-ApplicationTracker[[#This Row],[Posted]])</f>
        <v>Unknown</v>
      </c>
      <c r="D19" s="9">
        <f ca="1">TODAY()-ApplicationTracker[[#This Row],[Date]]</f>
        <v>36</v>
      </c>
      <c r="E19" t="s">
        <v>22</v>
      </c>
      <c r="F19" t="s">
        <v>62</v>
      </c>
      <c r="G19" t="s">
        <v>63</v>
      </c>
      <c r="H19" t="s">
        <v>20</v>
      </c>
      <c r="I19" t="e" vm="3">
        <v>#VALUE!</v>
      </c>
      <c r="J19" t="s">
        <v>11</v>
      </c>
      <c r="K19" s="4"/>
      <c r="L19" s="4"/>
      <c r="M19" s="4">
        <f>ROUND(IF(ApplicationTracker[[#This Row],[Salaried]]="No",ApplicationTracker[[#This Row],[Low]],ApplicationTracker[[#This Row],[Low]]/Fulltime40Year),2)</f>
        <v>0</v>
      </c>
      <c r="N19" s="4">
        <f>ROUND(IF(ApplicationTracker[[#This Row],[Salaried]]="No",ApplicationTracker[[#This Row],[High]],ApplicationTracker[[#This Row],[High]]/Fulltime40Year),2)</f>
        <v>0</v>
      </c>
      <c r="O19" s="6" t="str">
        <f>_xlfn.TEXTJOIN(" ",FALSE,"$",TEXT(ApplicationTracker[[#This Row],[H-L]],"#,##0.00"),"-","$",TEXT(ApplicationTracker[[#This Row],[H-H]],"#,##0.00"))</f>
        <v>$ 0.00 - $ 0.00</v>
      </c>
      <c r="P19" s="4">
        <f>ROUND(IF(ApplicationTracker[[#This Row],[Salaried]]="No",ApplicationTracker[[#This Row],[Low]]*Fulltime40Month,ApplicationTracker[[#This Row],[Y-L]]/12),2)</f>
        <v>0</v>
      </c>
      <c r="Q19" s="4" cm="1">
        <f t="array" ref="Q19">ROUND(IF(ApplicationTracker[[#This Row],[Salaried]]="No",ApplicationTracker[[#This Row],[High]]*Fulltime40Month,ApplicationTracker[[#This Row],[Y-H]]/12),2)</f>
        <v>0</v>
      </c>
      <c r="R19" s="6" t="str">
        <f>_xlfn.TEXTJOIN(" ",FALSE,"$",TEXT(ApplicationTracker[[#This Row],[M-L]],"#,##0.00"),"-","$",TEXT(ApplicationTracker[[#This Row],[M-H]],"#,##0.00"))</f>
        <v>$ 0.00 - $ 0.00</v>
      </c>
      <c r="S19" s="5" cm="1">
        <f t="array" ref="S19">IF(ApplicationTracker[[#This Row],[Salaried]]="Yes",ApplicationTracker[[#This Row],[Low]],ApplicationTracker[[#This Row],[M-L]]*12)</f>
        <v>0</v>
      </c>
      <c r="T19" s="5" cm="1">
        <f t="array" ref="T19">IF(ApplicationTracker[[#This Row],[Salaried]]="Yes",ApplicationTracker[[#This Row],[High]],ApplicationTracker[[#This Row],[M-H]]*12)</f>
        <v>0</v>
      </c>
      <c r="U19" s="6" t="str">
        <f>_xlfn.TEXTJOIN(" ",FALSE,"$",TEXT(ApplicationTracker[[#This Row],[Y-L]],"#,##0.00"),"-","$",TEXT(ApplicationTracker[[#This Row],[Y-H]],"#,##0.00"))</f>
        <v>$ 0.00 - $ 0.00</v>
      </c>
      <c r="V19">
        <v>3</v>
      </c>
      <c r="W19">
        <v>7</v>
      </c>
      <c r="X19" s="1">
        <v>46017</v>
      </c>
      <c r="Y19" s="1" t="s">
        <v>31</v>
      </c>
      <c r="Z19" s="3" t="s">
        <v>68</v>
      </c>
      <c r="AA19" t="str">
        <f>_xlfn.TEXTJOIN("",FALSE,LEFT(ApplicationTracker[[#This Row],[Company]],2),DEC2HEX(ApplicationTracker[[#This Row],[Date]]),DEC2HEX(ApplicationTracker[[#This Row],[Updated]]),LEFT(ApplicationTracker[[#This Row],[Job Title]],2),ApplicationTracker[[#This Row],[Want]]*ApplicationTracker[[#This Row],[Likely]])</f>
        <v>IZB3B9B3C1In21</v>
      </c>
    </row>
    <row r="20" spans="1:27" x14ac:dyDescent="0.4">
      <c r="A20" s="2">
        <v>46001</v>
      </c>
      <c r="B20" s="2"/>
      <c r="C20" s="9" t="str">
        <f ca="1">IF(ISBLANK(ApplicationTracker[[#This Row],[Posted]]),"Unknown",TODAY()-ApplicationTracker[[#This Row],[Posted]])</f>
        <v>Unknown</v>
      </c>
      <c r="D20" s="9">
        <f ca="1">TODAY()-ApplicationTracker[[#This Row],[Date]]</f>
        <v>44</v>
      </c>
      <c r="E20" t="s">
        <v>22</v>
      </c>
      <c r="F20" t="s">
        <v>174</v>
      </c>
      <c r="G20" t="s">
        <v>175</v>
      </c>
      <c r="H20" t="s">
        <v>18</v>
      </c>
      <c r="I20" t="e" vm="3">
        <v>#VALUE!</v>
      </c>
      <c r="J20" t="s">
        <v>11</v>
      </c>
      <c r="K20" s="4"/>
      <c r="L20" s="4"/>
      <c r="M20" s="4">
        <f>ROUND(IF(ApplicationTracker[[#This Row],[Salaried]]="No",ApplicationTracker[[#This Row],[Low]],ApplicationTracker[[#This Row],[Low]]/Fulltime40Year),2)</f>
        <v>0</v>
      </c>
      <c r="N20" s="4">
        <f>ROUND(IF(ApplicationTracker[[#This Row],[Salaried]]="No",ApplicationTracker[[#This Row],[High]],ApplicationTracker[[#This Row],[High]]/Fulltime40Year),2)</f>
        <v>0</v>
      </c>
      <c r="O20" s="6" t="str">
        <f>_xlfn.TEXTJOIN(" ",FALSE,"$",TEXT(ApplicationTracker[[#This Row],[H-L]],"#,##0.00"),"-","$",TEXT(ApplicationTracker[[#This Row],[H-H]],"#,##0.00"))</f>
        <v>$ 0.00 - $ 0.00</v>
      </c>
      <c r="P20" s="4">
        <f>ROUND(IF(ApplicationTracker[[#This Row],[Salaried]]="No",ApplicationTracker[[#This Row],[Low]]*Fulltime40Month,ApplicationTracker[[#This Row],[Y-L]]/12),2)</f>
        <v>0</v>
      </c>
      <c r="Q20" s="4" cm="1">
        <f t="array" ref="Q20">ROUND(IF(ApplicationTracker[[#This Row],[Salaried]]="No",ApplicationTracker[[#This Row],[High]]*Fulltime40Month,ApplicationTracker[[#This Row],[Y-H]]/12),2)</f>
        <v>0</v>
      </c>
      <c r="R20" s="6" t="str">
        <f>_xlfn.TEXTJOIN(" ",FALSE,"$",TEXT(ApplicationTracker[[#This Row],[M-L]],"#,##0.00"),"-","$",TEXT(ApplicationTracker[[#This Row],[M-H]],"#,##0.00"))</f>
        <v>$ 0.00 - $ 0.00</v>
      </c>
      <c r="S20" s="5" cm="1">
        <f t="array" ref="S20">IF(ApplicationTracker[[#This Row],[Salaried]]="Yes",ApplicationTracker[[#This Row],[Low]],ApplicationTracker[[#This Row],[M-L]]*12)</f>
        <v>0</v>
      </c>
      <c r="T20" s="5" cm="1">
        <f t="array" ref="T20">IF(ApplicationTracker[[#This Row],[Salaried]]="Yes",ApplicationTracker[[#This Row],[High]],ApplicationTracker[[#This Row],[M-H]]*12)</f>
        <v>0</v>
      </c>
      <c r="U20" s="6" t="str">
        <f>_xlfn.TEXTJOIN(" ",FALSE,"$",TEXT(ApplicationTracker[[#This Row],[Y-L]],"#,##0.00"),"-","$",TEXT(ApplicationTracker[[#This Row],[Y-H]],"#,##0.00"))</f>
        <v>$ 0.00 - $ 0.00</v>
      </c>
      <c r="V20" s="6">
        <v>0</v>
      </c>
      <c r="W20">
        <v>7</v>
      </c>
      <c r="X20" s="1">
        <v>46022</v>
      </c>
      <c r="Y20" s="1" t="s">
        <v>173</v>
      </c>
      <c r="AA20" t="str">
        <f>_xlfn.TEXTJOIN("",FALSE,LEFT(ApplicationTracker[[#This Row],[Company]],2),DEC2HEX(ApplicationTracker[[#This Row],[Date]]),DEC2HEX(ApplicationTracker[[#This Row],[Updated]]),LEFT(ApplicationTracker[[#This Row],[Job Title]],2),ApplicationTracker[[#This Row],[Want]]*ApplicationTracker[[#This Row],[Likely]])</f>
        <v>BrB3B1B3C6IT0</v>
      </c>
    </row>
    <row r="21" spans="1:27" x14ac:dyDescent="0.4">
      <c r="A21" s="2">
        <v>46026</v>
      </c>
      <c r="B21" s="2"/>
      <c r="C21" s="9" t="str">
        <f ca="1">IF(ISBLANK(ApplicationTracker[[#This Row],[Posted]]),"Unknown",TODAY()-ApplicationTracker[[#This Row],[Posted]])</f>
        <v>Unknown</v>
      </c>
      <c r="D21" s="9">
        <f ca="1">TODAY()-ApplicationTracker[[#This Row],[Date]]</f>
        <v>19</v>
      </c>
      <c r="E21" t="s">
        <v>22</v>
      </c>
      <c r="F21" t="s">
        <v>213</v>
      </c>
      <c r="G21" t="s">
        <v>214</v>
      </c>
      <c r="H21" t="s">
        <v>18</v>
      </c>
      <c r="I21" t="e" vm="3">
        <v>#VALUE!</v>
      </c>
      <c r="J21" t="s">
        <v>11</v>
      </c>
      <c r="K21" s="4">
        <v>40000</v>
      </c>
      <c r="L21" s="4">
        <v>60000</v>
      </c>
      <c r="M21" s="4">
        <f>ROUND(IF(ApplicationTracker[[#This Row],[Salaried]]="No",ApplicationTracker[[#This Row],[Low]],ApplicationTracker[[#This Row],[Low]]/Fulltime40Year),2)</f>
        <v>19.23</v>
      </c>
      <c r="N21" s="4">
        <f>ROUND(IF(ApplicationTracker[[#This Row],[Salaried]]="No",ApplicationTracker[[#This Row],[High]],ApplicationTracker[[#This Row],[High]]/Fulltime40Year),2)</f>
        <v>28.85</v>
      </c>
      <c r="O21" s="6" t="str">
        <f>_xlfn.TEXTJOIN(" ",FALSE,"$",TEXT(ApplicationTracker[[#This Row],[H-L]],"#,##0.00"),"-","$",TEXT(ApplicationTracker[[#This Row],[H-H]],"#,##0.00"))</f>
        <v>$ 19.23 - $ 28.85</v>
      </c>
      <c r="P21" s="4">
        <f>ROUND(IF(ApplicationTracker[[#This Row],[Salaried]]="No",ApplicationTracker[[#This Row],[Low]]*Fulltime40Month,ApplicationTracker[[#This Row],[Y-L]]/12),2)</f>
        <v>3333.33</v>
      </c>
      <c r="Q21" s="4" cm="1">
        <f t="array" ref="Q21">ROUND(IF(ApplicationTracker[[#This Row],[Salaried]]="No",ApplicationTracker[[#This Row],[High]]*Fulltime40Month,ApplicationTracker[[#This Row],[Y-H]]/12),2)</f>
        <v>5000</v>
      </c>
      <c r="R21" s="6" t="str">
        <f>_xlfn.TEXTJOIN(" ",FALSE,"$",TEXT(ApplicationTracker[[#This Row],[M-L]],"#,##0.00"),"-","$",TEXT(ApplicationTracker[[#This Row],[M-H]],"#,##0.00"))</f>
        <v>$ 3,333.33 - $ 5,000.00</v>
      </c>
      <c r="S21" s="5" cm="1">
        <f t="array" ref="S21">IF(ApplicationTracker[[#This Row],[Salaried]]="Yes",ApplicationTracker[[#This Row],[Low]],ApplicationTracker[[#This Row],[M-L]]*12)</f>
        <v>40000</v>
      </c>
      <c r="T21" s="5" cm="1">
        <f t="array" ref="T21">IF(ApplicationTracker[[#This Row],[Salaried]]="Yes",ApplicationTracker[[#This Row],[High]],ApplicationTracker[[#This Row],[M-H]]*12)</f>
        <v>60000</v>
      </c>
      <c r="U21" s="6" t="str">
        <f>_xlfn.TEXTJOIN(" ",FALSE,"$",TEXT(ApplicationTracker[[#This Row],[Y-L]],"#,##0.00"),"-","$",TEXT(ApplicationTracker[[#This Row],[Y-H]],"#,##0.00"))</f>
        <v>$ 40,000.00 - $ 60,000.00</v>
      </c>
      <c r="V21" s="6">
        <v>2</v>
      </c>
      <c r="W21">
        <v>6</v>
      </c>
      <c r="X21" s="1">
        <v>46026</v>
      </c>
      <c r="Y21" s="1" t="s">
        <v>30</v>
      </c>
      <c r="Z21" s="3" t="s">
        <v>215</v>
      </c>
      <c r="AA21" t="str">
        <f>_xlfn.TEXTJOIN("",FALSE,LEFT(ApplicationTracker[[#This Row],[Company]],2),DEC2HEX(ApplicationTracker[[#This Row],[Date]]),DEC2HEX(ApplicationTracker[[#This Row],[Updated]]),LEFT(ApplicationTracker[[#This Row],[Job Title]],2),ApplicationTracker[[#This Row],[Want]]*ApplicationTracker[[#This Row],[Likely]])</f>
        <v>RSB3CAB3CAIT12</v>
      </c>
    </row>
    <row r="22" spans="1:27" x14ac:dyDescent="0.4">
      <c r="A22" s="2">
        <v>46024</v>
      </c>
      <c r="B22" s="2"/>
      <c r="C22" s="9" t="str">
        <f ca="1">IF(ISBLANK(ApplicationTracker[[#This Row],[Posted]]),"Unknown",TODAY()-ApplicationTracker[[#This Row],[Posted]])</f>
        <v>Unknown</v>
      </c>
      <c r="D22" s="9">
        <f ca="1">TODAY()-ApplicationTracker[[#This Row],[Date]]</f>
        <v>21</v>
      </c>
      <c r="E22" t="s">
        <v>22</v>
      </c>
      <c r="F22" t="s">
        <v>204</v>
      </c>
      <c r="G22" t="s">
        <v>205</v>
      </c>
      <c r="H22" t="s">
        <v>18</v>
      </c>
      <c r="I22" t="e" vm="11">
        <v>#VALUE!</v>
      </c>
      <c r="J22" t="s">
        <v>13</v>
      </c>
      <c r="K22" s="4">
        <v>19</v>
      </c>
      <c r="L22" s="4">
        <v>21</v>
      </c>
      <c r="M22" s="4">
        <f>ROUND(IF(ApplicationTracker[[#This Row],[Salaried]]="No",ApplicationTracker[[#This Row],[Low]],ApplicationTracker[[#This Row],[Low]]/Fulltime40Year),2)</f>
        <v>19</v>
      </c>
      <c r="N22" s="4">
        <f>ROUND(IF(ApplicationTracker[[#This Row],[Salaried]]="No",ApplicationTracker[[#This Row],[High]],ApplicationTracker[[#This Row],[High]]/Fulltime40Year),2)</f>
        <v>21</v>
      </c>
      <c r="O22" s="6" t="str">
        <f>_xlfn.TEXTJOIN(" ",FALSE,"$",TEXT(ApplicationTracker[[#This Row],[H-L]],"#,##0.00"),"-","$",TEXT(ApplicationTracker[[#This Row],[H-H]],"#,##0.00"))</f>
        <v>$ 19.00 - $ 21.00</v>
      </c>
      <c r="P22" s="4">
        <f>ROUND(IF(ApplicationTracker[[#This Row],[Salaried]]="No",ApplicationTracker[[#This Row],[Low]]*Fulltime40Month,ApplicationTracker[[#This Row],[Y-L]]/12),2)</f>
        <v>3040</v>
      </c>
      <c r="Q22" s="4" cm="1">
        <f t="array" ref="Q22">ROUND(IF(ApplicationTracker[[#This Row],[Salaried]]="No",ApplicationTracker[[#This Row],[High]]*Fulltime40Month,ApplicationTracker[[#This Row],[Y-H]]/12),2)</f>
        <v>3360</v>
      </c>
      <c r="R22" s="6" t="str">
        <f>_xlfn.TEXTJOIN(" ",FALSE,"$",TEXT(ApplicationTracker[[#This Row],[M-L]],"#,##0.00"),"-","$",TEXT(ApplicationTracker[[#This Row],[M-H]],"#,##0.00"))</f>
        <v>$ 3,040.00 - $ 3,360.00</v>
      </c>
      <c r="S22" s="5" cm="1">
        <f t="array" ref="S22">IF(ApplicationTracker[[#This Row],[Salaried]]="Yes",ApplicationTracker[[#This Row],[Low]],ApplicationTracker[[#This Row],[M-L]]*12)</f>
        <v>36480</v>
      </c>
      <c r="T22" s="5" cm="1">
        <f t="array" ref="T22">IF(ApplicationTracker[[#This Row],[Salaried]]="Yes",ApplicationTracker[[#This Row],[High]],ApplicationTracker[[#This Row],[M-H]]*12)</f>
        <v>40320</v>
      </c>
      <c r="U22" s="6" t="str">
        <f>_xlfn.TEXTJOIN(" ",FALSE,"$",TEXT(ApplicationTracker[[#This Row],[Y-L]],"#,##0.00"),"-","$",TEXT(ApplicationTracker[[#This Row],[Y-H]],"#,##0.00"))</f>
        <v>$ 36,480.00 - $ 40,320.00</v>
      </c>
      <c r="V22" s="6">
        <v>3</v>
      </c>
      <c r="W22">
        <v>6</v>
      </c>
      <c r="X22" s="1">
        <v>46024</v>
      </c>
      <c r="Y22" s="1" t="s">
        <v>30</v>
      </c>
      <c r="Z22" s="3" t="s">
        <v>206</v>
      </c>
      <c r="AA22" t="str">
        <f>_xlfn.TEXTJOIN("",FALSE,LEFT(ApplicationTracker[[#This Row],[Company]],2),DEC2HEX(ApplicationTracker[[#This Row],[Date]]),DEC2HEX(ApplicationTracker[[#This Row],[Updated]]),LEFT(ApplicationTracker[[#This Row],[Job Title]],2),ApplicationTracker[[#This Row],[Want]]*ApplicationTracker[[#This Row],[Likely]])</f>
        <v>CoB3C8B3C8IT18</v>
      </c>
    </row>
    <row r="23" spans="1:27" x14ac:dyDescent="0.4">
      <c r="A23" s="2">
        <v>46023</v>
      </c>
      <c r="B23" s="2"/>
      <c r="C23" s="9" t="str">
        <f ca="1">IF(ISBLANK(ApplicationTracker[[#This Row],[Posted]]),"Unknown",TODAY()-ApplicationTracker[[#This Row],[Posted]])</f>
        <v>Unknown</v>
      </c>
      <c r="D23" s="9">
        <f ca="1">TODAY()-ApplicationTracker[[#This Row],[Date]]</f>
        <v>22</v>
      </c>
      <c r="E23" t="s">
        <v>22</v>
      </c>
      <c r="F23" t="s">
        <v>191</v>
      </c>
      <c r="G23" t="s">
        <v>192</v>
      </c>
      <c r="H23" t="s">
        <v>18</v>
      </c>
      <c r="I23" t="e" vm="3">
        <v>#VALUE!</v>
      </c>
      <c r="J23" t="s">
        <v>11</v>
      </c>
      <c r="K23" s="4">
        <v>62868</v>
      </c>
      <c r="L23" s="4">
        <v>72298</v>
      </c>
      <c r="M23" s="4">
        <f>ROUND(IF(ApplicationTracker[[#This Row],[Salaried]]="No",ApplicationTracker[[#This Row],[Low]],ApplicationTracker[[#This Row],[Low]]/Fulltime40Year),2)</f>
        <v>30.23</v>
      </c>
      <c r="N23" s="4">
        <f>ROUND(IF(ApplicationTracker[[#This Row],[Salaried]]="No",ApplicationTracker[[#This Row],[High]],ApplicationTracker[[#This Row],[High]]/Fulltime40Year),2)</f>
        <v>34.76</v>
      </c>
      <c r="O23" s="6" t="str">
        <f>_xlfn.TEXTJOIN(" ",FALSE,"$",TEXT(ApplicationTracker[[#This Row],[H-L]],"#,##0.00"),"-","$",TEXT(ApplicationTracker[[#This Row],[H-H]],"#,##0.00"))</f>
        <v>$ 30.23 - $ 34.76</v>
      </c>
      <c r="P23" s="4">
        <f>ROUND(IF(ApplicationTracker[[#This Row],[Salaried]]="No",ApplicationTracker[[#This Row],[Low]]*Fulltime40Month,ApplicationTracker[[#This Row],[Y-L]]/12),2)</f>
        <v>5239</v>
      </c>
      <c r="Q23" s="4" cm="1">
        <f t="array" ref="Q23">ROUND(IF(ApplicationTracker[[#This Row],[Salaried]]="No",ApplicationTracker[[#This Row],[High]]*Fulltime40Month,ApplicationTracker[[#This Row],[Y-H]]/12),2)</f>
        <v>6024.83</v>
      </c>
      <c r="R23" s="6" t="str">
        <f>_xlfn.TEXTJOIN(" ",FALSE,"$",TEXT(ApplicationTracker[[#This Row],[M-L]],"#,##0.00"),"-","$",TEXT(ApplicationTracker[[#This Row],[M-H]],"#,##0.00"))</f>
        <v>$ 5,239.00 - $ 6,024.83</v>
      </c>
      <c r="S23" s="5" cm="1">
        <f t="array" ref="S23">IF(ApplicationTracker[[#This Row],[Salaried]]="Yes",ApplicationTracker[[#This Row],[Low]],ApplicationTracker[[#This Row],[M-L]]*12)</f>
        <v>62868</v>
      </c>
      <c r="T23" s="5" cm="1">
        <f t="array" ref="T23">IF(ApplicationTracker[[#This Row],[Salaried]]="Yes",ApplicationTracker[[#This Row],[High]],ApplicationTracker[[#This Row],[M-H]]*12)</f>
        <v>72298</v>
      </c>
      <c r="U23" s="6" t="str">
        <f>_xlfn.TEXTJOIN(" ",FALSE,"$",TEXT(ApplicationTracker[[#This Row],[Y-L]],"#,##0.00"),"-","$",TEXT(ApplicationTracker[[#This Row],[Y-H]],"#,##0.00"))</f>
        <v>$ 62,868.00 - $ 72,298.00</v>
      </c>
      <c r="V23" s="6">
        <v>2</v>
      </c>
      <c r="W23">
        <v>6</v>
      </c>
      <c r="X23" s="1">
        <v>46023</v>
      </c>
      <c r="Y23" s="1" t="s">
        <v>29</v>
      </c>
      <c r="Z23" s="3" t="s">
        <v>193</v>
      </c>
      <c r="AA23" t="str">
        <f>_xlfn.TEXTJOIN("",FALSE,LEFT(ApplicationTracker[[#This Row],[Company]],2),DEC2HEX(ApplicationTracker[[#This Row],[Date]]),DEC2HEX(ApplicationTracker[[#This Row],[Updated]]),LEFT(ApplicationTracker[[#This Row],[Job Title]],2),ApplicationTracker[[#This Row],[Want]]*ApplicationTracker[[#This Row],[Likely]])</f>
        <v>AdB3C7B3C7De12</v>
      </c>
    </row>
    <row r="24" spans="1:27" x14ac:dyDescent="0.4">
      <c r="A24" s="2">
        <v>46016</v>
      </c>
      <c r="B24" s="2"/>
      <c r="C24" s="9" t="str">
        <f ca="1">IF(ISBLANK(ApplicationTracker[[#This Row],[Posted]]),"Unknown",TODAY()-ApplicationTracker[[#This Row],[Posted]])</f>
        <v>Unknown</v>
      </c>
      <c r="D24" s="9">
        <f ca="1">TODAY()-ApplicationTracker[[#This Row],[Date]]</f>
        <v>29</v>
      </c>
      <c r="E24" t="s">
        <v>22</v>
      </c>
      <c r="F24" t="s">
        <v>149</v>
      </c>
      <c r="G24" t="s">
        <v>150</v>
      </c>
      <c r="H24" t="s">
        <v>18</v>
      </c>
      <c r="I24" t="e" vm="12">
        <v>#VALUE!</v>
      </c>
      <c r="J24" t="s">
        <v>11</v>
      </c>
      <c r="K24" s="4">
        <v>64000</v>
      </c>
      <c r="L24" s="4">
        <v>74000</v>
      </c>
      <c r="M24" s="4">
        <f>ROUND(IF(ApplicationTracker[[#This Row],[Salaried]]="No",ApplicationTracker[[#This Row],[Low]],ApplicationTracker[[#This Row],[Low]]/Fulltime40Year),2)</f>
        <v>30.77</v>
      </c>
      <c r="N24" s="4">
        <f>ROUND(IF(ApplicationTracker[[#This Row],[Salaried]]="No",ApplicationTracker[[#This Row],[High]],ApplicationTracker[[#This Row],[High]]/Fulltime40Year),2)</f>
        <v>35.58</v>
      </c>
      <c r="O24" s="6" t="str">
        <f>_xlfn.TEXTJOIN(" ",FALSE,"$",TEXT(ApplicationTracker[[#This Row],[H-L]],"#,##0.00"),"-","$",TEXT(ApplicationTracker[[#This Row],[H-H]],"#,##0.00"))</f>
        <v>$ 30.77 - $ 35.58</v>
      </c>
      <c r="P24" s="4">
        <f>ROUND(IF(ApplicationTracker[[#This Row],[Salaried]]="No",ApplicationTracker[[#This Row],[Low]]*Fulltime40Month,ApplicationTracker[[#This Row],[Y-L]]/12),2)</f>
        <v>5333.33</v>
      </c>
      <c r="Q24" s="4" cm="1">
        <f t="array" ref="Q24">ROUND(IF(ApplicationTracker[[#This Row],[Salaried]]="No",ApplicationTracker[[#This Row],[High]]*Fulltime40Month,ApplicationTracker[[#This Row],[Y-H]]/12),2)</f>
        <v>6166.67</v>
      </c>
      <c r="R24" s="6" t="str">
        <f>_xlfn.TEXTJOIN(" ",FALSE,"$",TEXT(ApplicationTracker[[#This Row],[M-L]],"#,##0.00"),"-","$",TEXT(ApplicationTracker[[#This Row],[M-H]],"#,##0.00"))</f>
        <v>$ 5,333.33 - $ 6,166.67</v>
      </c>
      <c r="S24" s="5" cm="1">
        <f t="array" ref="S24">IF(ApplicationTracker[[#This Row],[Salaried]]="Yes",ApplicationTracker[[#This Row],[Low]],ApplicationTracker[[#This Row],[M-L]]*12)</f>
        <v>64000</v>
      </c>
      <c r="T24" s="5" cm="1">
        <f t="array" ref="T24">IF(ApplicationTracker[[#This Row],[Salaried]]="Yes",ApplicationTracker[[#This Row],[High]],ApplicationTracker[[#This Row],[M-H]]*12)</f>
        <v>74000</v>
      </c>
      <c r="U24" s="6" t="str">
        <f>_xlfn.TEXTJOIN(" ",FALSE,"$",TEXT(ApplicationTracker[[#This Row],[Y-L]],"#,##0.00"),"-","$",TEXT(ApplicationTracker[[#This Row],[Y-H]],"#,##0.00"))</f>
        <v>$ 64,000.00 - $ 74,000.00</v>
      </c>
      <c r="V24" s="6">
        <v>2</v>
      </c>
      <c r="W24">
        <v>6</v>
      </c>
      <c r="X24" s="1">
        <v>46018</v>
      </c>
      <c r="Y24" s="1" t="s">
        <v>31</v>
      </c>
      <c r="Z24" s="3" t="s">
        <v>151</v>
      </c>
      <c r="AA24" t="str">
        <f>_xlfn.TEXTJOIN("",FALSE,LEFT(ApplicationTracker[[#This Row],[Company]],2),DEC2HEX(ApplicationTracker[[#This Row],[Date]]),DEC2HEX(ApplicationTracker[[#This Row],[Updated]]),LEFT(ApplicationTracker[[#This Row],[Job Title]],2),ApplicationTracker[[#This Row],[Want]]*ApplicationTracker[[#This Row],[Likely]])</f>
        <v>NeB3C0B3C2Jr12</v>
      </c>
    </row>
    <row r="25" spans="1:27" x14ac:dyDescent="0.4">
      <c r="A25" s="2">
        <v>46015</v>
      </c>
      <c r="B25" s="2"/>
      <c r="C25" s="9" t="str">
        <f ca="1">IF(ISBLANK(ApplicationTracker[[#This Row],[Posted]]),"Unknown",TODAY()-ApplicationTracker[[#This Row],[Posted]])</f>
        <v>Unknown</v>
      </c>
      <c r="D25" s="9">
        <f ca="1">TODAY()-ApplicationTracker[[#This Row],[Date]]</f>
        <v>30</v>
      </c>
      <c r="E25" t="s">
        <v>22</v>
      </c>
      <c r="F25" t="s">
        <v>132</v>
      </c>
      <c r="G25" t="s">
        <v>145</v>
      </c>
      <c r="H25" t="s">
        <v>18</v>
      </c>
      <c r="I25" t="e" vm="13">
        <v>#VALUE!</v>
      </c>
      <c r="J25" t="s">
        <v>11</v>
      </c>
      <c r="K25" s="4">
        <v>60000</v>
      </c>
      <c r="L25" s="4">
        <v>65000</v>
      </c>
      <c r="M25" s="4">
        <f>ROUND(IF(ApplicationTracker[[#This Row],[Salaried]]="No",ApplicationTracker[[#This Row],[Low]],ApplicationTracker[[#This Row],[Low]]/Fulltime40Year),2)</f>
        <v>28.85</v>
      </c>
      <c r="N25" s="4">
        <f>ROUND(IF(ApplicationTracker[[#This Row],[Salaried]]="No",ApplicationTracker[[#This Row],[High]],ApplicationTracker[[#This Row],[High]]/Fulltime40Year),2)</f>
        <v>31.25</v>
      </c>
      <c r="O25" s="6" t="str">
        <f>_xlfn.TEXTJOIN(" ",FALSE,"$",TEXT(ApplicationTracker[[#This Row],[H-L]],"#,##0.00"),"-","$",TEXT(ApplicationTracker[[#This Row],[H-H]],"#,##0.00"))</f>
        <v>$ 28.85 - $ 31.25</v>
      </c>
      <c r="P25" s="4">
        <f>ROUND(IF(ApplicationTracker[[#This Row],[Salaried]]="No",ApplicationTracker[[#This Row],[Low]]*Fulltime40Month,ApplicationTracker[[#This Row],[Y-L]]/12),2)</f>
        <v>5000</v>
      </c>
      <c r="Q25" s="4" cm="1">
        <f t="array" ref="Q25">ROUND(IF(ApplicationTracker[[#This Row],[Salaried]]="No",ApplicationTracker[[#This Row],[High]]*Fulltime40Month,ApplicationTracker[[#This Row],[Y-H]]/12),2)</f>
        <v>5416.67</v>
      </c>
      <c r="R25" s="6" t="str">
        <f>_xlfn.TEXTJOIN(" ",FALSE,"$",TEXT(ApplicationTracker[[#This Row],[M-L]],"#,##0.00"),"-","$",TEXT(ApplicationTracker[[#This Row],[M-H]],"#,##0.00"))</f>
        <v>$ 5,000.00 - $ 5,416.67</v>
      </c>
      <c r="S25" s="5" cm="1">
        <f t="array" ref="S25">IF(ApplicationTracker[[#This Row],[Salaried]]="Yes",ApplicationTracker[[#This Row],[Low]],ApplicationTracker[[#This Row],[M-L]]*12)</f>
        <v>60000</v>
      </c>
      <c r="T25" s="5" cm="1">
        <f t="array" ref="T25">IF(ApplicationTracker[[#This Row],[Salaried]]="Yes",ApplicationTracker[[#This Row],[High]],ApplicationTracker[[#This Row],[M-H]]*12)</f>
        <v>65000</v>
      </c>
      <c r="U25" s="6" t="str">
        <f>_xlfn.TEXTJOIN(" ",FALSE,"$",TEXT(ApplicationTracker[[#This Row],[Y-L]],"#,##0.00"),"-","$",TEXT(ApplicationTracker[[#This Row],[Y-H]],"#,##0.00"))</f>
        <v>$ 60,000.00 - $ 65,000.00</v>
      </c>
      <c r="V25" s="6">
        <v>2</v>
      </c>
      <c r="W25">
        <v>6</v>
      </c>
      <c r="X25" s="1">
        <v>46018</v>
      </c>
      <c r="Y25" s="1" t="s">
        <v>31</v>
      </c>
      <c r="Z25" s="3" t="s">
        <v>146</v>
      </c>
      <c r="AA25" t="str">
        <f>_xlfn.TEXTJOIN("",FALSE,LEFT(ApplicationTracker[[#This Row],[Company]],2),DEC2HEX(ApplicationTracker[[#This Row],[Date]]),DEC2HEX(ApplicationTracker[[#This Row],[Updated]]),LEFT(ApplicationTracker[[#This Row],[Job Title]],2),ApplicationTracker[[#This Row],[Want]]*ApplicationTracker[[#This Row],[Likely]])</f>
        <v>ThB3BFB3C2Te12</v>
      </c>
    </row>
    <row r="26" spans="1:27" x14ac:dyDescent="0.4">
      <c r="A26" s="2">
        <v>46015</v>
      </c>
      <c r="B26" s="2"/>
      <c r="C26" s="9" t="str">
        <f ca="1">IF(ISBLANK(ApplicationTracker[[#This Row],[Posted]]),"Unknown",TODAY()-ApplicationTracker[[#This Row],[Posted]])</f>
        <v>Unknown</v>
      </c>
      <c r="D26" s="9">
        <f ca="1">TODAY()-ApplicationTracker[[#This Row],[Date]]</f>
        <v>30</v>
      </c>
      <c r="E26" t="s">
        <v>22</v>
      </c>
      <c r="F26" t="s">
        <v>114</v>
      </c>
      <c r="G26" t="s">
        <v>115</v>
      </c>
      <c r="H26" t="s">
        <v>20</v>
      </c>
      <c r="I26" t="e" vm="14">
        <v>#VALUE!</v>
      </c>
      <c r="J26" t="s">
        <v>11</v>
      </c>
      <c r="K26" s="4"/>
      <c r="L26" s="4"/>
      <c r="M26" s="4">
        <f>ROUND(IF(ApplicationTracker[[#This Row],[Salaried]]="No",ApplicationTracker[[#This Row],[Low]],ApplicationTracker[[#This Row],[Low]]/Fulltime40Year),2)</f>
        <v>0</v>
      </c>
      <c r="N26" s="4">
        <f>ROUND(IF(ApplicationTracker[[#This Row],[Salaried]]="No",ApplicationTracker[[#This Row],[High]],ApplicationTracker[[#This Row],[High]]/Fulltime40Year),2)</f>
        <v>0</v>
      </c>
      <c r="O26" s="6" t="str">
        <f>_xlfn.TEXTJOIN(" ",FALSE,"$",TEXT(ApplicationTracker[[#This Row],[H-L]],"#,##0.00"),"-","$",TEXT(ApplicationTracker[[#This Row],[H-H]],"#,##0.00"))</f>
        <v>$ 0.00 - $ 0.00</v>
      </c>
      <c r="P26" s="4">
        <f>ROUND(IF(ApplicationTracker[[#This Row],[Salaried]]="No",ApplicationTracker[[#This Row],[Low]]*Fulltime40Month,ApplicationTracker[[#This Row],[Y-L]]/12),2)</f>
        <v>0</v>
      </c>
      <c r="Q26" s="4" cm="1">
        <f t="array" ref="Q26">ROUND(IF(ApplicationTracker[[#This Row],[Salaried]]="No",ApplicationTracker[[#This Row],[High]]*Fulltime40Month,ApplicationTracker[[#This Row],[Y-H]]/12),2)</f>
        <v>0</v>
      </c>
      <c r="R26" s="6" t="str">
        <f>_xlfn.TEXTJOIN(" ",FALSE,"$",TEXT(ApplicationTracker[[#This Row],[M-L]],"#,##0.00"),"-","$",TEXT(ApplicationTracker[[#This Row],[M-H]],"#,##0.00"))</f>
        <v>$ 0.00 - $ 0.00</v>
      </c>
      <c r="S26" s="5" cm="1">
        <f t="array" ref="S26">IF(ApplicationTracker[[#This Row],[Salaried]]="Yes",ApplicationTracker[[#This Row],[Low]],ApplicationTracker[[#This Row],[M-L]]*12)</f>
        <v>0</v>
      </c>
      <c r="T26" s="5" cm="1">
        <f t="array" ref="T26">IF(ApplicationTracker[[#This Row],[Salaried]]="Yes",ApplicationTracker[[#This Row],[High]],ApplicationTracker[[#This Row],[M-H]]*12)</f>
        <v>0</v>
      </c>
      <c r="U26" s="6" t="str">
        <f>_xlfn.TEXTJOIN(" ",FALSE,"$",TEXT(ApplicationTracker[[#This Row],[Y-L]],"#,##0.00"),"-","$",TEXT(ApplicationTracker[[#This Row],[Y-H]],"#,##0.00"))</f>
        <v>$ 0.00 - $ 0.00</v>
      </c>
      <c r="V26" s="6">
        <v>1</v>
      </c>
      <c r="W26">
        <v>6</v>
      </c>
      <c r="X26" s="1">
        <v>46017</v>
      </c>
      <c r="Y26" s="1" t="s">
        <v>31</v>
      </c>
      <c r="Z26" s="3" t="s">
        <v>116</v>
      </c>
      <c r="AA26" t="str">
        <f>_xlfn.TEXTJOIN("",FALSE,LEFT(ApplicationTracker[[#This Row],[Company]],2),DEC2HEX(ApplicationTracker[[#This Row],[Date]]),DEC2HEX(ApplicationTracker[[#This Row],[Updated]]),LEFT(ApplicationTracker[[#This Row],[Job Title]],2),ApplicationTracker[[#This Row],[Want]]*ApplicationTracker[[#This Row],[Likely]])</f>
        <v>InB3BFB3C1En6</v>
      </c>
    </row>
    <row r="27" spans="1:27" x14ac:dyDescent="0.4">
      <c r="A27" s="2">
        <v>46014</v>
      </c>
      <c r="B27" s="2"/>
      <c r="C27" s="9" t="str">
        <f ca="1">IF(ISBLANK(ApplicationTracker[[#This Row],[Posted]]),"Unknown",TODAY()-ApplicationTracker[[#This Row],[Posted]])</f>
        <v>Unknown</v>
      </c>
      <c r="D27" s="9">
        <f ca="1">TODAY()-ApplicationTracker[[#This Row],[Date]]</f>
        <v>31</v>
      </c>
      <c r="E27" t="s">
        <v>22</v>
      </c>
      <c r="F27" t="s">
        <v>91</v>
      </c>
      <c r="G27" t="s">
        <v>92</v>
      </c>
      <c r="H27" t="s">
        <v>20</v>
      </c>
      <c r="I27" t="e" vm="3">
        <v>#VALUE!</v>
      </c>
      <c r="J27" t="s">
        <v>11</v>
      </c>
      <c r="K27" s="4">
        <v>80000</v>
      </c>
      <c r="L27" s="4">
        <v>80000</v>
      </c>
      <c r="M27" s="4">
        <f>ROUND(IF(ApplicationTracker[[#This Row],[Salaried]]="No",ApplicationTracker[[#This Row],[Low]],ApplicationTracker[[#This Row],[Low]]/Fulltime40Year),2)</f>
        <v>38.46</v>
      </c>
      <c r="N27" s="4">
        <f>ROUND(IF(ApplicationTracker[[#This Row],[Salaried]]="No",ApplicationTracker[[#This Row],[High]],ApplicationTracker[[#This Row],[High]]/Fulltime40Year),2)</f>
        <v>38.46</v>
      </c>
      <c r="O27" s="6" t="str">
        <f>_xlfn.TEXTJOIN(" ",FALSE,"$",TEXT(ApplicationTracker[[#This Row],[H-L]],"#,##0.00"),"-","$",TEXT(ApplicationTracker[[#This Row],[H-H]],"#,##0.00"))</f>
        <v>$ 38.46 - $ 38.46</v>
      </c>
      <c r="P27" s="4">
        <f>ROUND(IF(ApplicationTracker[[#This Row],[Salaried]]="No",ApplicationTracker[[#This Row],[Low]]*Fulltime40Month,ApplicationTracker[[#This Row],[Y-L]]/12),2)</f>
        <v>6666.67</v>
      </c>
      <c r="Q27" s="4" cm="1">
        <f t="array" ref="Q27">ROUND(IF(ApplicationTracker[[#This Row],[Salaried]]="No",ApplicationTracker[[#This Row],[High]]*Fulltime40Month,ApplicationTracker[[#This Row],[Y-H]]/12),2)</f>
        <v>6666.67</v>
      </c>
      <c r="R27" s="6" t="str">
        <f>_xlfn.TEXTJOIN(" ",FALSE,"$",TEXT(ApplicationTracker[[#This Row],[M-L]],"#,##0.00"),"-","$",TEXT(ApplicationTracker[[#This Row],[M-H]],"#,##0.00"))</f>
        <v>$ 6,666.67 - $ 6,666.67</v>
      </c>
      <c r="S27" s="5" cm="1">
        <f t="array" ref="S27">IF(ApplicationTracker[[#This Row],[Salaried]]="Yes",ApplicationTracker[[#This Row],[Low]],ApplicationTracker[[#This Row],[M-L]]*12)</f>
        <v>80000</v>
      </c>
      <c r="T27" s="5" cm="1">
        <f t="array" ref="T27">IF(ApplicationTracker[[#This Row],[Salaried]]="Yes",ApplicationTracker[[#This Row],[High]],ApplicationTracker[[#This Row],[M-H]]*12)</f>
        <v>80000</v>
      </c>
      <c r="U27" s="6" t="str">
        <f>_xlfn.TEXTJOIN(" ",FALSE,"$",TEXT(ApplicationTracker[[#This Row],[Y-L]],"#,##0.00"),"-","$",TEXT(ApplicationTracker[[#This Row],[Y-H]],"#,##0.00"))</f>
        <v>$ 80,000.00 - $ 80,000.00</v>
      </c>
      <c r="V27" s="6">
        <v>2</v>
      </c>
      <c r="W27">
        <v>6</v>
      </c>
      <c r="X27" s="1">
        <v>46017</v>
      </c>
      <c r="Y27" s="1" t="s">
        <v>31</v>
      </c>
      <c r="Z27" s="3" t="s">
        <v>93</v>
      </c>
      <c r="AA27" t="str">
        <f>_xlfn.TEXTJOIN("",FALSE,LEFT(ApplicationTracker[[#This Row],[Company]],2),DEC2HEX(ApplicationTracker[[#This Row],[Date]]),DEC2HEX(ApplicationTracker[[#This Row],[Updated]]),LEFT(ApplicationTracker[[#This Row],[Job Title]],2),ApplicationTracker[[#This Row],[Want]]*ApplicationTracker[[#This Row],[Likely]])</f>
        <v>PrB3BEB3C1Ap12</v>
      </c>
    </row>
    <row r="28" spans="1:27" x14ac:dyDescent="0.4">
      <c r="A28" s="2">
        <v>46029</v>
      </c>
      <c r="B28" s="2">
        <v>46023</v>
      </c>
      <c r="C28" s="9">
        <f ca="1">IF(ISBLANK(ApplicationTracker[[#This Row],[Posted]]),"Unknown",TODAY()-ApplicationTracker[[#This Row],[Posted]])</f>
        <v>22</v>
      </c>
      <c r="D28" s="9">
        <f ca="1">TODAY()-ApplicationTracker[[#This Row],[Date]]</f>
        <v>16</v>
      </c>
      <c r="E28" t="s">
        <v>22</v>
      </c>
      <c r="F28" t="s">
        <v>220</v>
      </c>
      <c r="G28" t="s">
        <v>218</v>
      </c>
      <c r="H28" t="s">
        <v>18</v>
      </c>
      <c r="I28" t="e" vm="15">
        <v>#VALUE!</v>
      </c>
      <c r="J28" t="s">
        <v>13</v>
      </c>
      <c r="K28" s="4">
        <v>37.5</v>
      </c>
      <c r="L28" s="4">
        <v>48.75</v>
      </c>
      <c r="M28" s="4">
        <f>ROUND(IF(ApplicationTracker[[#This Row],[Salaried]]="No",ApplicationTracker[[#This Row],[Low]],ApplicationTracker[[#This Row],[Low]]/Fulltime40Year),2)</f>
        <v>37.5</v>
      </c>
      <c r="N28" s="4">
        <f>ROUND(IF(ApplicationTracker[[#This Row],[Salaried]]="No",ApplicationTracker[[#This Row],[High]],ApplicationTracker[[#This Row],[High]]/Fulltime40Year),2)</f>
        <v>48.75</v>
      </c>
      <c r="O28" s="6" t="str">
        <f>_xlfn.TEXTJOIN(" ",FALSE,"$",TEXT(ApplicationTracker[[#This Row],[H-L]],"#,##0.00"),"-","$",TEXT(ApplicationTracker[[#This Row],[H-H]],"#,##0.00"))</f>
        <v>$ 37.50 - $ 48.75</v>
      </c>
      <c r="P28" s="4">
        <f>ROUND(IF(ApplicationTracker[[#This Row],[Salaried]]="No",ApplicationTracker[[#This Row],[Low]]*Fulltime40Month,ApplicationTracker[[#This Row],[Y-L]]/12),2)</f>
        <v>6000</v>
      </c>
      <c r="Q28" s="4" cm="1">
        <f t="array" ref="Q28">ROUND(IF(ApplicationTracker[[#This Row],[Salaried]]="No",ApplicationTracker[[#This Row],[High]]*Fulltime40Month,ApplicationTracker[[#This Row],[Y-H]]/12),2)</f>
        <v>7800</v>
      </c>
      <c r="R28" s="6" t="str">
        <f>_xlfn.TEXTJOIN(" ",FALSE,"$",TEXT(ApplicationTracker[[#This Row],[M-L]],"#,##0.00"),"-","$",TEXT(ApplicationTracker[[#This Row],[M-H]],"#,##0.00"))</f>
        <v>$ 6,000.00 - $ 7,800.00</v>
      </c>
      <c r="S28" s="5" cm="1">
        <f t="array" ref="S28">IF(ApplicationTracker[[#This Row],[Salaried]]="Yes",ApplicationTracker[[#This Row],[Low]],ApplicationTracker[[#This Row],[M-L]]*12)</f>
        <v>72000</v>
      </c>
      <c r="T28" s="5" cm="1">
        <f t="array" ref="T28">IF(ApplicationTracker[[#This Row],[Salaried]]="Yes",ApplicationTracker[[#This Row],[High]],ApplicationTracker[[#This Row],[M-H]]*12)</f>
        <v>93600</v>
      </c>
      <c r="U28" s="6" t="str">
        <f>_xlfn.TEXTJOIN(" ",FALSE,"$",TEXT(ApplicationTracker[[#This Row],[Y-L]],"#,##0.00"),"-","$",TEXT(ApplicationTracker[[#This Row],[Y-H]],"#,##0.00"))</f>
        <v>$ 72,000.00 - $ 93,600.00</v>
      </c>
      <c r="V28" s="6">
        <v>2</v>
      </c>
      <c r="W28">
        <v>5</v>
      </c>
      <c r="X28" s="1">
        <v>46029</v>
      </c>
      <c r="Y28" s="1" t="s">
        <v>29</v>
      </c>
      <c r="Z28" s="3" t="s">
        <v>221</v>
      </c>
      <c r="AA28" t="str">
        <f>_xlfn.TEXTJOIN("",FALSE,LEFT(ApplicationTracker[[#This Row],[Company]],2),DEC2HEX(ApplicationTracker[[#This Row],[Date]]),DEC2HEX(ApplicationTracker[[#This Row],[Updated]]),LEFT(ApplicationTracker[[#This Row],[Job Title]],2),ApplicationTracker[[#This Row],[Want]]*ApplicationTracker[[#This Row],[Likely]])</f>
        <v>DLB3CDB3CDIT10</v>
      </c>
    </row>
    <row r="29" spans="1:27" x14ac:dyDescent="0.4">
      <c r="A29" s="2">
        <v>46016</v>
      </c>
      <c r="B29" s="2"/>
      <c r="C29" s="9" t="str">
        <f ca="1">IF(ISBLANK(ApplicationTracker[[#This Row],[Posted]]),"Unknown",TODAY()-ApplicationTracker[[#This Row],[Posted]])</f>
        <v>Unknown</v>
      </c>
      <c r="D29" s="9">
        <f ca="1">TODAY()-ApplicationTracker[[#This Row],[Date]]</f>
        <v>29</v>
      </c>
      <c r="E29" t="s">
        <v>22</v>
      </c>
      <c r="F29" t="s">
        <v>152</v>
      </c>
      <c r="G29" t="s">
        <v>153</v>
      </c>
      <c r="H29" t="s">
        <v>20</v>
      </c>
      <c r="I29" t="e" vm="5">
        <v>#VALUE!</v>
      </c>
      <c r="J29" t="s">
        <v>11</v>
      </c>
      <c r="K29" s="4"/>
      <c r="L29" s="4"/>
      <c r="M29" s="4">
        <f>ROUND(IF(ApplicationTracker[[#This Row],[Salaried]]="No",ApplicationTracker[[#This Row],[Low]],ApplicationTracker[[#This Row],[Low]]/Fulltime40Year),2)</f>
        <v>0</v>
      </c>
      <c r="N29" s="4">
        <f>ROUND(IF(ApplicationTracker[[#This Row],[Salaried]]="No",ApplicationTracker[[#This Row],[High]],ApplicationTracker[[#This Row],[High]]/Fulltime40Year),2)</f>
        <v>0</v>
      </c>
      <c r="O29" s="6" t="str">
        <f>_xlfn.TEXTJOIN(" ",FALSE,"$",TEXT(ApplicationTracker[[#This Row],[H-L]],"#,##0.00"),"-","$",TEXT(ApplicationTracker[[#This Row],[H-H]],"#,##0.00"))</f>
        <v>$ 0.00 - $ 0.00</v>
      </c>
      <c r="P29" s="4">
        <f>ROUND(IF(ApplicationTracker[[#This Row],[Salaried]]="No",ApplicationTracker[[#This Row],[Low]]*Fulltime40Month,ApplicationTracker[[#This Row],[Y-L]]/12),2)</f>
        <v>0</v>
      </c>
      <c r="Q29" s="4" cm="1">
        <f t="array" ref="Q29">ROUND(IF(ApplicationTracker[[#This Row],[Salaried]]="No",ApplicationTracker[[#This Row],[High]]*Fulltime40Month,ApplicationTracker[[#This Row],[Y-H]]/12),2)</f>
        <v>0</v>
      </c>
      <c r="R29" s="6" t="str">
        <f>_xlfn.TEXTJOIN(" ",FALSE,"$",TEXT(ApplicationTracker[[#This Row],[M-L]],"#,##0.00"),"-","$",TEXT(ApplicationTracker[[#This Row],[M-H]],"#,##0.00"))</f>
        <v>$ 0.00 - $ 0.00</v>
      </c>
      <c r="S29" s="5" cm="1">
        <f t="array" ref="S29">IF(ApplicationTracker[[#This Row],[Salaried]]="Yes",ApplicationTracker[[#This Row],[Low]],ApplicationTracker[[#This Row],[M-L]]*12)</f>
        <v>0</v>
      </c>
      <c r="T29" s="5" cm="1">
        <f t="array" ref="T29">IF(ApplicationTracker[[#This Row],[Salaried]]="Yes",ApplicationTracker[[#This Row],[High]],ApplicationTracker[[#This Row],[M-H]]*12)</f>
        <v>0</v>
      </c>
      <c r="U29" s="6" t="str">
        <f>_xlfn.TEXTJOIN(" ",FALSE,"$",TEXT(ApplicationTracker[[#This Row],[Y-L]],"#,##0.00"),"-","$",TEXT(ApplicationTracker[[#This Row],[Y-H]],"#,##0.00"))</f>
        <v>$ 0.00 - $ 0.00</v>
      </c>
      <c r="V29" s="6">
        <v>1</v>
      </c>
      <c r="W29">
        <v>5</v>
      </c>
      <c r="X29" s="1">
        <v>46018</v>
      </c>
      <c r="Y29" s="1" t="s">
        <v>31</v>
      </c>
      <c r="Z29" s="3" t="s">
        <v>154</v>
      </c>
      <c r="AA29" t="str">
        <f>_xlfn.TEXTJOIN("",FALSE,LEFT(ApplicationTracker[[#This Row],[Company]],2),DEC2HEX(ApplicationTracker[[#This Row],[Date]]),DEC2HEX(ApplicationTracker[[#This Row],[Updated]]),LEFT(ApplicationTracker[[#This Row],[Job Title]],2),ApplicationTracker[[#This Row],[Want]]*ApplicationTracker[[#This Row],[Likely]])</f>
        <v>GaB3C0B3C2Se5</v>
      </c>
    </row>
    <row r="30" spans="1:27" x14ac:dyDescent="0.4">
      <c r="A30" s="2">
        <v>46015</v>
      </c>
      <c r="B30" s="2"/>
      <c r="C30" s="9" t="str">
        <f ca="1">IF(ISBLANK(ApplicationTracker[[#This Row],[Posted]]),"Unknown",TODAY()-ApplicationTracker[[#This Row],[Posted]])</f>
        <v>Unknown</v>
      </c>
      <c r="D30" s="9">
        <f ca="1">TODAY()-ApplicationTracker[[#This Row],[Date]]</f>
        <v>30</v>
      </c>
      <c r="E30" t="s">
        <v>138</v>
      </c>
      <c r="F30" t="s">
        <v>139</v>
      </c>
      <c r="G30" t="s">
        <v>140</v>
      </c>
      <c r="H30" t="s">
        <v>20</v>
      </c>
      <c r="I30" t="e" vm="3">
        <v>#VALUE!</v>
      </c>
      <c r="J30" t="s">
        <v>11</v>
      </c>
      <c r="K30" s="4">
        <v>85000</v>
      </c>
      <c r="L30" s="4">
        <v>95000</v>
      </c>
      <c r="M30" s="4">
        <f>ROUND(IF(ApplicationTracker[[#This Row],[Salaried]]="No",ApplicationTracker[[#This Row],[Low]],ApplicationTracker[[#This Row],[Low]]/Fulltime40Year),2)</f>
        <v>40.869999999999997</v>
      </c>
      <c r="N30" s="4">
        <f>ROUND(IF(ApplicationTracker[[#This Row],[Salaried]]="No",ApplicationTracker[[#This Row],[High]],ApplicationTracker[[#This Row],[High]]/Fulltime40Year),2)</f>
        <v>45.67</v>
      </c>
      <c r="O30" s="6" t="str">
        <f>_xlfn.TEXTJOIN(" ",FALSE,"$",TEXT(ApplicationTracker[[#This Row],[H-L]],"#,##0.00"),"-","$",TEXT(ApplicationTracker[[#This Row],[H-H]],"#,##0.00"))</f>
        <v>$ 40.87 - $ 45.67</v>
      </c>
      <c r="P30" s="4">
        <f>ROUND(IF(ApplicationTracker[[#This Row],[Salaried]]="No",ApplicationTracker[[#This Row],[Low]]*Fulltime40Month,ApplicationTracker[[#This Row],[Y-L]]/12),2)</f>
        <v>7083.33</v>
      </c>
      <c r="Q30" s="4" cm="1">
        <f t="array" ref="Q30">ROUND(IF(ApplicationTracker[[#This Row],[Salaried]]="No",ApplicationTracker[[#This Row],[High]]*Fulltime40Month,ApplicationTracker[[#This Row],[Y-H]]/12),2)</f>
        <v>7916.67</v>
      </c>
      <c r="R30" s="6" t="str">
        <f>_xlfn.TEXTJOIN(" ",FALSE,"$",TEXT(ApplicationTracker[[#This Row],[M-L]],"#,##0.00"),"-","$",TEXT(ApplicationTracker[[#This Row],[M-H]],"#,##0.00"))</f>
        <v>$ 7,083.33 - $ 7,916.67</v>
      </c>
      <c r="S30" s="5" cm="1">
        <f t="array" ref="S30">IF(ApplicationTracker[[#This Row],[Salaried]]="Yes",ApplicationTracker[[#This Row],[Low]],ApplicationTracker[[#This Row],[M-L]]*12)</f>
        <v>85000</v>
      </c>
      <c r="T30" s="5" cm="1">
        <f t="array" ref="T30">IF(ApplicationTracker[[#This Row],[Salaried]]="Yes",ApplicationTracker[[#This Row],[High]],ApplicationTracker[[#This Row],[M-H]]*12)</f>
        <v>95000</v>
      </c>
      <c r="U30" s="6" t="str">
        <f>_xlfn.TEXTJOIN(" ",FALSE,"$",TEXT(ApplicationTracker[[#This Row],[Y-L]],"#,##0.00"),"-","$",TEXT(ApplicationTracker[[#This Row],[Y-H]],"#,##0.00"))</f>
        <v>$ 85,000.00 - $ 95,000.00</v>
      </c>
      <c r="V30" s="6">
        <v>0</v>
      </c>
      <c r="W30">
        <v>5</v>
      </c>
      <c r="X30" s="1">
        <v>46018</v>
      </c>
      <c r="Y30" s="1" t="s">
        <v>31</v>
      </c>
      <c r="Z30" s="3" t="s">
        <v>141</v>
      </c>
      <c r="AA30" t="str">
        <f>_xlfn.TEXTJOIN("",FALSE,LEFT(ApplicationTracker[[#This Row],[Company]],2),DEC2HEX(ApplicationTracker[[#This Row],[Date]]),DEC2HEX(ApplicationTracker[[#This Row],[Updated]]),LEFT(ApplicationTracker[[#This Row],[Job Title]],2),ApplicationTracker[[#This Row],[Want]]*ApplicationTracker[[#This Row],[Likely]])</f>
        <v>ScB3BFB3C2He0</v>
      </c>
    </row>
    <row r="31" spans="1:27" x14ac:dyDescent="0.4">
      <c r="A31" s="2">
        <v>46015</v>
      </c>
      <c r="B31" s="2"/>
      <c r="C31" s="9" t="str">
        <f ca="1">IF(ISBLANK(ApplicationTracker[[#This Row],[Posted]]),"Unknown",TODAY()-ApplicationTracker[[#This Row],[Posted]])</f>
        <v>Unknown</v>
      </c>
      <c r="D31" s="9">
        <f ca="1">TODAY()-ApplicationTracker[[#This Row],[Date]]</f>
        <v>30</v>
      </c>
      <c r="E31" t="s">
        <v>22</v>
      </c>
      <c r="F31" t="s">
        <v>135</v>
      </c>
      <c r="G31" t="s">
        <v>136</v>
      </c>
      <c r="H31" t="s">
        <v>18</v>
      </c>
      <c r="I31" t="e" vm="16">
        <v>#VALUE!</v>
      </c>
      <c r="J31" t="s">
        <v>13</v>
      </c>
      <c r="K31" s="4">
        <v>25</v>
      </c>
      <c r="L31" s="4">
        <v>35</v>
      </c>
      <c r="M31" s="4">
        <f>ROUND(IF(ApplicationTracker[[#This Row],[Salaried]]="No",ApplicationTracker[[#This Row],[Low]],ApplicationTracker[[#This Row],[Low]]/Fulltime40Year),2)</f>
        <v>25</v>
      </c>
      <c r="N31" s="4">
        <f>ROUND(IF(ApplicationTracker[[#This Row],[Salaried]]="No",ApplicationTracker[[#This Row],[High]],ApplicationTracker[[#This Row],[High]]/Fulltime40Year),2)</f>
        <v>35</v>
      </c>
      <c r="O31" s="6" t="str">
        <f>_xlfn.TEXTJOIN(" ",FALSE,"$",TEXT(ApplicationTracker[[#This Row],[H-L]],"#,##0.00"),"-","$",TEXT(ApplicationTracker[[#This Row],[H-H]],"#,##0.00"))</f>
        <v>$ 25.00 - $ 35.00</v>
      </c>
      <c r="P31" s="4">
        <f>ROUND(IF(ApplicationTracker[[#This Row],[Salaried]]="No",ApplicationTracker[[#This Row],[Low]]*Fulltime40Month,ApplicationTracker[[#This Row],[Y-L]]/12),2)</f>
        <v>4000</v>
      </c>
      <c r="Q31" s="4" cm="1">
        <f t="array" ref="Q31">ROUND(IF(ApplicationTracker[[#This Row],[Salaried]]="No",ApplicationTracker[[#This Row],[High]]*Fulltime40Month,ApplicationTracker[[#This Row],[Y-H]]/12),2)</f>
        <v>5600</v>
      </c>
      <c r="R31" s="6" t="str">
        <f>_xlfn.TEXTJOIN(" ",FALSE,"$",TEXT(ApplicationTracker[[#This Row],[M-L]],"#,##0.00"),"-","$",TEXT(ApplicationTracker[[#This Row],[M-H]],"#,##0.00"))</f>
        <v>$ 4,000.00 - $ 5,600.00</v>
      </c>
      <c r="S31" s="5" cm="1">
        <f t="array" ref="S31">IF(ApplicationTracker[[#This Row],[Salaried]]="Yes",ApplicationTracker[[#This Row],[Low]],ApplicationTracker[[#This Row],[M-L]]*12)</f>
        <v>48000</v>
      </c>
      <c r="T31" s="5" cm="1">
        <f t="array" ref="T31">IF(ApplicationTracker[[#This Row],[Salaried]]="Yes",ApplicationTracker[[#This Row],[High]],ApplicationTracker[[#This Row],[M-H]]*12)</f>
        <v>67200</v>
      </c>
      <c r="U31" s="6" t="str">
        <f>_xlfn.TEXTJOIN(" ",FALSE,"$",TEXT(ApplicationTracker[[#This Row],[Y-L]],"#,##0.00"),"-","$",TEXT(ApplicationTracker[[#This Row],[Y-H]],"#,##0.00"))</f>
        <v>$ 48,000.00 - $ 67,200.00</v>
      </c>
      <c r="V31" s="6">
        <v>2</v>
      </c>
      <c r="W31">
        <v>5</v>
      </c>
      <c r="X31" s="1">
        <v>46018</v>
      </c>
      <c r="Y31" s="1" t="s">
        <v>31</v>
      </c>
      <c r="Z31" s="3" t="s">
        <v>137</v>
      </c>
      <c r="AA31" t="str">
        <f>_xlfn.TEXTJOIN("",FALSE,LEFT(ApplicationTracker[[#This Row],[Company]],2),DEC2HEX(ApplicationTracker[[#This Row],[Date]]),DEC2HEX(ApplicationTracker[[#This Row],[Updated]]),LEFT(ApplicationTracker[[#This Row],[Job Title]],2),ApplicationTracker[[#This Row],[Want]]*ApplicationTracker[[#This Row],[Likely]])</f>
        <v>TrB3BFB3C2He10</v>
      </c>
    </row>
    <row r="32" spans="1:27" x14ac:dyDescent="0.4">
      <c r="A32" s="2">
        <v>46014</v>
      </c>
      <c r="B32" s="2"/>
      <c r="C32" s="9" t="str">
        <f ca="1">IF(ISBLANK(ApplicationTracker[[#This Row],[Posted]]),"Unknown",TODAY()-ApplicationTracker[[#This Row],[Posted]])</f>
        <v>Unknown</v>
      </c>
      <c r="D32" s="9">
        <f ca="1">TODAY()-ApplicationTracker[[#This Row],[Date]]</f>
        <v>31</v>
      </c>
      <c r="E32" t="s">
        <v>22</v>
      </c>
      <c r="F32" t="s">
        <v>99</v>
      </c>
      <c r="G32" t="s">
        <v>100</v>
      </c>
      <c r="H32" t="s">
        <v>18</v>
      </c>
      <c r="I32" t="e" vm="17">
        <v>#VALUE!</v>
      </c>
      <c r="J32" t="s">
        <v>11</v>
      </c>
      <c r="K32" s="4"/>
      <c r="L32" s="4"/>
      <c r="M32" s="4">
        <f>ROUND(IF(ApplicationTracker[[#This Row],[Salaried]]="No",ApplicationTracker[[#This Row],[Low]],ApplicationTracker[[#This Row],[Low]]/Fulltime40Year),2)</f>
        <v>0</v>
      </c>
      <c r="N32" s="4">
        <f>ROUND(IF(ApplicationTracker[[#This Row],[Salaried]]="No",ApplicationTracker[[#This Row],[High]],ApplicationTracker[[#This Row],[High]]/Fulltime40Year),2)</f>
        <v>0</v>
      </c>
      <c r="O32" s="6" t="str">
        <f>_xlfn.TEXTJOIN(" ",FALSE,"$",TEXT(ApplicationTracker[[#This Row],[H-L]],"#,##0.00"),"-","$",TEXT(ApplicationTracker[[#This Row],[H-H]],"#,##0.00"))</f>
        <v>$ 0.00 - $ 0.00</v>
      </c>
      <c r="P32" s="4">
        <f>ROUND(IF(ApplicationTracker[[#This Row],[Salaried]]="No",ApplicationTracker[[#This Row],[Low]]*Fulltime40Month,ApplicationTracker[[#This Row],[Y-L]]/12),2)</f>
        <v>0</v>
      </c>
      <c r="Q32" s="4" cm="1">
        <f t="array" ref="Q32">ROUND(IF(ApplicationTracker[[#This Row],[Salaried]]="No",ApplicationTracker[[#This Row],[High]]*Fulltime40Month,ApplicationTracker[[#This Row],[Y-H]]/12),2)</f>
        <v>0</v>
      </c>
      <c r="R32" s="6" t="str">
        <f>_xlfn.TEXTJOIN(" ",FALSE,"$",TEXT(ApplicationTracker[[#This Row],[M-L]],"#,##0.00"),"-","$",TEXT(ApplicationTracker[[#This Row],[M-H]],"#,##0.00"))</f>
        <v>$ 0.00 - $ 0.00</v>
      </c>
      <c r="S32" s="5" cm="1">
        <f t="array" ref="S32">IF(ApplicationTracker[[#This Row],[Salaried]]="Yes",ApplicationTracker[[#This Row],[Low]],ApplicationTracker[[#This Row],[M-L]]*12)</f>
        <v>0</v>
      </c>
      <c r="T32" s="5" cm="1">
        <f t="array" ref="T32">IF(ApplicationTracker[[#This Row],[Salaried]]="Yes",ApplicationTracker[[#This Row],[High]],ApplicationTracker[[#This Row],[M-H]]*12)</f>
        <v>0</v>
      </c>
      <c r="U32" s="6" t="str">
        <f>_xlfn.TEXTJOIN(" ",FALSE,"$",TEXT(ApplicationTracker[[#This Row],[Y-L]],"#,##0.00"),"-","$",TEXT(ApplicationTracker[[#This Row],[Y-H]],"#,##0.00"))</f>
        <v>$ 0.00 - $ 0.00</v>
      </c>
      <c r="V32" s="6">
        <v>2</v>
      </c>
      <c r="W32">
        <v>5</v>
      </c>
      <c r="X32" s="1">
        <v>46017</v>
      </c>
      <c r="Y32" s="1" t="s">
        <v>31</v>
      </c>
      <c r="Z32" s="3" t="s">
        <v>101</v>
      </c>
      <c r="AA32" t="str">
        <f>_xlfn.TEXTJOIN("",FALSE,LEFT(ApplicationTracker[[#This Row],[Company]],2),DEC2HEX(ApplicationTracker[[#This Row],[Date]]),DEC2HEX(ApplicationTracker[[#This Row],[Updated]]),LEFT(ApplicationTracker[[#This Row],[Job Title]],2),ApplicationTracker[[#This Row],[Want]]*ApplicationTracker[[#This Row],[Likely]])</f>
        <v>A3B3BEB3C1He10</v>
      </c>
    </row>
    <row r="33" spans="1:27" x14ac:dyDescent="0.4">
      <c r="A33" s="2">
        <v>46014</v>
      </c>
      <c r="B33" s="2"/>
      <c r="C33" s="9" t="str">
        <f ca="1">IF(ISBLANK(ApplicationTracker[[#This Row],[Posted]]),"Unknown",TODAY()-ApplicationTracker[[#This Row],[Posted]])</f>
        <v>Unknown</v>
      </c>
      <c r="D33" s="9">
        <f ca="1">TODAY()-ApplicationTracker[[#This Row],[Date]]</f>
        <v>31</v>
      </c>
      <c r="E33" t="s">
        <v>22</v>
      </c>
      <c r="F33" t="s">
        <v>76</v>
      </c>
      <c r="G33" t="s">
        <v>77</v>
      </c>
      <c r="H33" t="s">
        <v>18</v>
      </c>
      <c r="I33" t="e" vm="18">
        <v>#VALUE!</v>
      </c>
      <c r="J33" t="s">
        <v>11</v>
      </c>
      <c r="K33" s="4">
        <v>58000</v>
      </c>
      <c r="L33" s="4">
        <v>65000</v>
      </c>
      <c r="M33" s="4">
        <f>ROUND(IF(ApplicationTracker[[#This Row],[Salaried]]="No",ApplicationTracker[[#This Row],[Low]],ApplicationTracker[[#This Row],[Low]]/Fulltime40Year),2)</f>
        <v>27.88</v>
      </c>
      <c r="N33" s="4">
        <f>ROUND(IF(ApplicationTracker[[#This Row],[Salaried]]="No",ApplicationTracker[[#This Row],[High]],ApplicationTracker[[#This Row],[High]]/Fulltime40Year),2)</f>
        <v>31.25</v>
      </c>
      <c r="O33" s="6" t="str">
        <f>_xlfn.TEXTJOIN(" ",FALSE,"$",TEXT(ApplicationTracker[[#This Row],[H-L]],"#,##0.00"),"-","$",TEXT(ApplicationTracker[[#This Row],[H-H]],"#,##0.00"))</f>
        <v>$ 27.88 - $ 31.25</v>
      </c>
      <c r="P33" s="4">
        <f>ROUND(IF(ApplicationTracker[[#This Row],[Salaried]]="No",ApplicationTracker[[#This Row],[Low]]*Fulltime40Month,ApplicationTracker[[#This Row],[Y-L]]/12),2)</f>
        <v>4833.33</v>
      </c>
      <c r="Q33" s="4" cm="1">
        <f t="array" ref="Q33">ROUND(IF(ApplicationTracker[[#This Row],[Salaried]]="No",ApplicationTracker[[#This Row],[High]]*Fulltime40Month,ApplicationTracker[[#This Row],[Y-H]]/12),2)</f>
        <v>5416.67</v>
      </c>
      <c r="R33" s="6" t="str">
        <f>_xlfn.TEXTJOIN(" ",FALSE,"$",TEXT(ApplicationTracker[[#This Row],[M-L]],"#,##0.00"),"-","$",TEXT(ApplicationTracker[[#This Row],[M-H]],"#,##0.00"))</f>
        <v>$ 4,833.33 - $ 5,416.67</v>
      </c>
      <c r="S33" s="5" cm="1">
        <f t="array" ref="S33">IF(ApplicationTracker[[#This Row],[Salaried]]="Yes",ApplicationTracker[[#This Row],[Low]],ApplicationTracker[[#This Row],[M-L]]*12)</f>
        <v>58000</v>
      </c>
      <c r="T33" s="5" cm="1">
        <f t="array" ref="T33">IF(ApplicationTracker[[#This Row],[Salaried]]="Yes",ApplicationTracker[[#This Row],[High]],ApplicationTracker[[#This Row],[M-H]]*12)</f>
        <v>65000</v>
      </c>
      <c r="U33" s="6" t="str">
        <f>_xlfn.TEXTJOIN(" ",FALSE,"$",TEXT(ApplicationTracker[[#This Row],[Y-L]],"#,##0.00"),"-","$",TEXT(ApplicationTracker[[#This Row],[Y-H]],"#,##0.00"))</f>
        <v>$ 58,000.00 - $ 65,000.00</v>
      </c>
      <c r="V33" s="6">
        <v>3</v>
      </c>
      <c r="W33">
        <v>5</v>
      </c>
      <c r="X33" s="1">
        <v>46017</v>
      </c>
      <c r="Y33" s="1" t="s">
        <v>31</v>
      </c>
      <c r="Z33" s="3" t="s">
        <v>78</v>
      </c>
      <c r="AA33" t="str">
        <f>_xlfn.TEXTJOIN("",FALSE,LEFT(ApplicationTracker[[#This Row],[Company]],2),DEC2HEX(ApplicationTracker[[#This Row],[Date]]),DEC2HEX(ApplicationTracker[[#This Row],[Updated]]),LEFT(ApplicationTracker[[#This Row],[Job Title]],2),ApplicationTracker[[#This Row],[Want]]*ApplicationTracker[[#This Row],[Likely]])</f>
        <v>ClB3BEB3C1In15</v>
      </c>
    </row>
    <row r="34" spans="1:27" x14ac:dyDescent="0.4">
      <c r="A34" s="2">
        <v>46014</v>
      </c>
      <c r="B34" s="2"/>
      <c r="C34" s="9" t="str">
        <f ca="1">IF(ISBLANK(ApplicationTracker[[#This Row],[Posted]]),"Unknown",TODAY()-ApplicationTracker[[#This Row],[Posted]])</f>
        <v>Unknown</v>
      </c>
      <c r="D34" s="9">
        <f ca="1">TODAY()-ApplicationTracker[[#This Row],[Date]]</f>
        <v>31</v>
      </c>
      <c r="E34" t="s">
        <v>22</v>
      </c>
      <c r="F34" t="s">
        <v>108</v>
      </c>
      <c r="G34" t="s">
        <v>109</v>
      </c>
      <c r="H34" t="s">
        <v>18</v>
      </c>
      <c r="I34" t="e" vm="19">
        <v>#VALUE!</v>
      </c>
      <c r="J34" t="s">
        <v>11</v>
      </c>
      <c r="K34" s="4"/>
      <c r="L34" s="4"/>
      <c r="M34" s="4">
        <f>ROUND(IF(ApplicationTracker[[#This Row],[Salaried]]="No",ApplicationTracker[[#This Row],[Low]],ApplicationTracker[[#This Row],[Low]]/Fulltime40Year),2)</f>
        <v>0</v>
      </c>
      <c r="N34" s="4">
        <f>ROUND(IF(ApplicationTracker[[#This Row],[Salaried]]="No",ApplicationTracker[[#This Row],[High]],ApplicationTracker[[#This Row],[High]]/Fulltime40Year),2)</f>
        <v>0</v>
      </c>
      <c r="O34" s="6" t="str">
        <f>_xlfn.TEXTJOIN(" ",FALSE,"$",TEXT(ApplicationTracker[[#This Row],[H-L]],"#,##0.00"),"-","$",TEXT(ApplicationTracker[[#This Row],[H-H]],"#,##0.00"))</f>
        <v>$ 0.00 - $ 0.00</v>
      </c>
      <c r="P34" s="4">
        <f>ROUND(IF(ApplicationTracker[[#This Row],[Salaried]]="No",ApplicationTracker[[#This Row],[Low]]*Fulltime40Month,ApplicationTracker[[#This Row],[Y-L]]/12),2)</f>
        <v>0</v>
      </c>
      <c r="Q34" s="4" cm="1">
        <f t="array" ref="Q34">ROUND(IF(ApplicationTracker[[#This Row],[Salaried]]="No",ApplicationTracker[[#This Row],[High]]*Fulltime40Month,ApplicationTracker[[#This Row],[Y-H]]/12),2)</f>
        <v>0</v>
      </c>
      <c r="R34" s="6" t="str">
        <f>_xlfn.TEXTJOIN(" ",FALSE,"$",TEXT(ApplicationTracker[[#This Row],[M-L]],"#,##0.00"),"-","$",TEXT(ApplicationTracker[[#This Row],[M-H]],"#,##0.00"))</f>
        <v>$ 0.00 - $ 0.00</v>
      </c>
      <c r="S34" s="5" cm="1">
        <f t="array" ref="S34">IF(ApplicationTracker[[#This Row],[Salaried]]="Yes",ApplicationTracker[[#This Row],[Low]],ApplicationTracker[[#This Row],[M-L]]*12)</f>
        <v>0</v>
      </c>
      <c r="T34" s="5" cm="1">
        <f t="array" ref="T34">IF(ApplicationTracker[[#This Row],[Salaried]]="Yes",ApplicationTracker[[#This Row],[High]],ApplicationTracker[[#This Row],[M-H]]*12)</f>
        <v>0</v>
      </c>
      <c r="U34" s="6" t="str">
        <f>_xlfn.TEXTJOIN(" ",FALSE,"$",TEXT(ApplicationTracker[[#This Row],[Y-L]],"#,##0.00"),"-","$",TEXT(ApplicationTracker[[#This Row],[Y-H]],"#,##0.00"))</f>
        <v>$ 0.00 - $ 0.00</v>
      </c>
      <c r="V34" s="6">
        <v>1</v>
      </c>
      <c r="W34">
        <v>5</v>
      </c>
      <c r="X34" s="1">
        <v>46017</v>
      </c>
      <c r="Y34" s="1" t="s">
        <v>31</v>
      </c>
      <c r="Z34" s="3" t="s">
        <v>110</v>
      </c>
      <c r="AA34" t="str">
        <f>_xlfn.TEXTJOIN("",FALSE,LEFT(ApplicationTracker[[#This Row],[Company]],2),DEC2HEX(ApplicationTracker[[#This Row],[Date]]),DEC2HEX(ApplicationTracker[[#This Row],[Updated]]),LEFT(ApplicationTracker[[#This Row],[Job Title]],2),ApplicationTracker[[#This Row],[Want]]*ApplicationTracker[[#This Row],[Likely]])</f>
        <v>KwB3BEB3C1IT5</v>
      </c>
    </row>
    <row r="35" spans="1:27" x14ac:dyDescent="0.4">
      <c r="A35" s="2">
        <v>45998</v>
      </c>
      <c r="B35" s="2"/>
      <c r="C35" s="9" t="str">
        <f ca="1">IF(ISBLANK(ApplicationTracker[[#This Row],[Posted]]),"Unknown",TODAY()-ApplicationTracker[[#This Row],[Posted]])</f>
        <v>Unknown</v>
      </c>
      <c r="D35" s="9">
        <f ca="1">TODAY()-ApplicationTracker[[#This Row],[Date]]</f>
        <v>47</v>
      </c>
      <c r="E35" t="s">
        <v>22</v>
      </c>
      <c r="F35" t="s">
        <v>65</v>
      </c>
      <c r="G35" t="s">
        <v>194</v>
      </c>
      <c r="H35" t="s">
        <v>18</v>
      </c>
      <c r="I35" t="e" vm="3">
        <v>#VALUE!</v>
      </c>
      <c r="J35" t="s">
        <v>11</v>
      </c>
      <c r="K35" s="4">
        <v>50000</v>
      </c>
      <c r="L35" s="4">
        <v>70000</v>
      </c>
      <c r="M35" s="4">
        <f>ROUND(IF(ApplicationTracker[[#This Row],[Salaried]]="No",ApplicationTracker[[#This Row],[Low]],ApplicationTracker[[#This Row],[Low]]/Fulltime40Year),2)</f>
        <v>24.04</v>
      </c>
      <c r="N35" s="4">
        <f>ROUND(IF(ApplicationTracker[[#This Row],[Salaried]]="No",ApplicationTracker[[#This Row],[High]],ApplicationTracker[[#This Row],[High]]/Fulltime40Year),2)</f>
        <v>33.65</v>
      </c>
      <c r="O35" s="6" t="str">
        <f>_xlfn.TEXTJOIN(" ",FALSE,"$",TEXT(ApplicationTracker[[#This Row],[H-L]],"#,##0.00"),"-","$",TEXT(ApplicationTracker[[#This Row],[H-H]],"#,##0.00"))</f>
        <v>$ 24.04 - $ 33.65</v>
      </c>
      <c r="P35" s="4">
        <f>ROUND(IF(ApplicationTracker[[#This Row],[Salaried]]="No",ApplicationTracker[[#This Row],[Low]]*Fulltime40Month,ApplicationTracker[[#This Row],[Y-L]]/12),2)</f>
        <v>4166.67</v>
      </c>
      <c r="Q35" s="4" cm="1">
        <f t="array" ref="Q35">ROUND(IF(ApplicationTracker[[#This Row],[Salaried]]="No",ApplicationTracker[[#This Row],[High]]*Fulltime40Month,ApplicationTracker[[#This Row],[Y-H]]/12),2)</f>
        <v>5833.33</v>
      </c>
      <c r="R35" s="6" t="str">
        <f>_xlfn.TEXTJOIN(" ",FALSE,"$",TEXT(ApplicationTracker[[#This Row],[M-L]],"#,##0.00"),"-","$",TEXT(ApplicationTracker[[#This Row],[M-H]],"#,##0.00"))</f>
        <v>$ 4,166.67 - $ 5,833.33</v>
      </c>
      <c r="S35" s="5" cm="1">
        <f t="array" ref="S35">IF(ApplicationTracker[[#This Row],[Salaried]]="Yes",ApplicationTracker[[#This Row],[Low]],ApplicationTracker[[#This Row],[M-L]]*12)</f>
        <v>50000</v>
      </c>
      <c r="T35" s="5" cm="1">
        <f t="array" ref="T35">IF(ApplicationTracker[[#This Row],[Salaried]]="Yes",ApplicationTracker[[#This Row],[High]],ApplicationTracker[[#This Row],[M-H]]*12)</f>
        <v>70000</v>
      </c>
      <c r="U35" s="6" t="str">
        <f>_xlfn.TEXTJOIN(" ",FALSE,"$",TEXT(ApplicationTracker[[#This Row],[Y-L]],"#,##0.00"),"-","$",TEXT(ApplicationTracker[[#This Row],[Y-H]],"#,##0.00"))</f>
        <v>$ 50,000.00 - $ 70,000.00</v>
      </c>
      <c r="V35" s="6">
        <v>1</v>
      </c>
      <c r="W35">
        <v>5</v>
      </c>
      <c r="X35" s="1">
        <v>46023</v>
      </c>
      <c r="Y35" s="1" t="s">
        <v>173</v>
      </c>
      <c r="Z35" s="3" t="s">
        <v>195</v>
      </c>
      <c r="AA35" t="str">
        <f>_xlfn.TEXTJOIN("",FALSE,LEFT(ApplicationTracker[[#This Row],[Company]],2),DEC2HEX(ApplicationTracker[[#This Row],[Date]]),DEC2HEX(ApplicationTracker[[#This Row],[Updated]]),LEFT(ApplicationTracker[[#This Row],[Job Title]],2),ApplicationTracker[[#This Row],[Want]]*ApplicationTracker[[#This Row],[Likely]])</f>
        <v>PrB3AEB3C7IT5</v>
      </c>
    </row>
    <row r="36" spans="1:27" x14ac:dyDescent="0.4">
      <c r="A36" s="2">
        <v>45926</v>
      </c>
      <c r="B36" s="2"/>
      <c r="C36" s="9" t="str">
        <f ca="1">IF(ISBLANK(ApplicationTracker[[#This Row],[Posted]]),"Unknown",TODAY()-ApplicationTracker[[#This Row],[Posted]])</f>
        <v>Unknown</v>
      </c>
      <c r="D36" s="9">
        <f ca="1">TODAY()-ApplicationTracker[[#This Row],[Date]]</f>
        <v>119</v>
      </c>
      <c r="E36" t="s">
        <v>22</v>
      </c>
      <c r="F36" t="s">
        <v>172</v>
      </c>
      <c r="G36" t="s">
        <v>176</v>
      </c>
      <c r="H36" t="s">
        <v>18</v>
      </c>
      <c r="I36" t="e" vm="3">
        <v>#VALUE!</v>
      </c>
      <c r="J36" t="s">
        <v>11</v>
      </c>
      <c r="K36" s="4"/>
      <c r="L36" s="4"/>
      <c r="M36" s="4">
        <f>ROUND(IF(ApplicationTracker[[#This Row],[Salaried]]="No",ApplicationTracker[[#This Row],[Low]],ApplicationTracker[[#This Row],[Low]]/Fulltime40Year),2)</f>
        <v>0</v>
      </c>
      <c r="N36" s="4">
        <f>ROUND(IF(ApplicationTracker[[#This Row],[Salaried]]="No",ApplicationTracker[[#This Row],[High]],ApplicationTracker[[#This Row],[High]]/Fulltime40Year),2)</f>
        <v>0</v>
      </c>
      <c r="O36" s="6" t="str">
        <f>_xlfn.TEXTJOIN(" ",FALSE,"$",TEXT(ApplicationTracker[[#This Row],[H-L]],"#,##0.00"),"-","$",TEXT(ApplicationTracker[[#This Row],[H-H]],"#,##0.00"))</f>
        <v>$ 0.00 - $ 0.00</v>
      </c>
      <c r="P36" s="4">
        <f>ROUND(IF(ApplicationTracker[[#This Row],[Salaried]]="No",ApplicationTracker[[#This Row],[Low]]*Fulltime40Month,ApplicationTracker[[#This Row],[Y-L]]/12),2)</f>
        <v>0</v>
      </c>
      <c r="Q36" s="4" cm="1">
        <f t="array" ref="Q36">ROUND(IF(ApplicationTracker[[#This Row],[Salaried]]="No",ApplicationTracker[[#This Row],[High]]*Fulltime40Month,ApplicationTracker[[#This Row],[Y-H]]/12),2)</f>
        <v>0</v>
      </c>
      <c r="R36" s="6" t="str">
        <f>_xlfn.TEXTJOIN(" ",FALSE,"$",TEXT(ApplicationTracker[[#This Row],[M-L]],"#,##0.00"),"-","$",TEXT(ApplicationTracker[[#This Row],[M-H]],"#,##0.00"))</f>
        <v>$ 0.00 - $ 0.00</v>
      </c>
      <c r="S36" s="5" cm="1">
        <f t="array" ref="S36">IF(ApplicationTracker[[#This Row],[Salaried]]="Yes",ApplicationTracker[[#This Row],[Low]],ApplicationTracker[[#This Row],[M-L]]*12)</f>
        <v>0</v>
      </c>
      <c r="T36" s="5" cm="1">
        <f t="array" ref="T36">IF(ApplicationTracker[[#This Row],[Salaried]]="Yes",ApplicationTracker[[#This Row],[High]],ApplicationTracker[[#This Row],[M-H]]*12)</f>
        <v>0</v>
      </c>
      <c r="U36" s="6" t="str">
        <f>_xlfn.TEXTJOIN(" ",FALSE,"$",TEXT(ApplicationTracker[[#This Row],[Y-L]],"#,##0.00"),"-","$",TEXT(ApplicationTracker[[#This Row],[Y-H]],"#,##0.00"))</f>
        <v>$ 0.00 - $ 0.00</v>
      </c>
      <c r="V36" s="6">
        <v>0</v>
      </c>
      <c r="W36">
        <v>5</v>
      </c>
      <c r="X36" s="1">
        <v>46022</v>
      </c>
      <c r="Y36" s="1" t="s">
        <v>173</v>
      </c>
      <c r="AA36" t="str">
        <f>_xlfn.TEXTJOIN("",FALSE,LEFT(ApplicationTracker[[#This Row],[Company]],2),DEC2HEX(ApplicationTracker[[#This Row],[Date]]),DEC2HEX(ApplicationTracker[[#This Row],[Updated]]),LEFT(ApplicationTracker[[#This Row],[Job Title]],2),ApplicationTracker[[#This Row],[Want]]*ApplicationTracker[[#This Row],[Likely]])</f>
        <v>OfB366B3C6IT0</v>
      </c>
    </row>
    <row r="37" spans="1:27" x14ac:dyDescent="0.4">
      <c r="A37" s="2">
        <v>46014</v>
      </c>
      <c r="B37" s="2"/>
      <c r="C37" s="9" t="str">
        <f ca="1">IF(ISBLANK(ApplicationTracker[[#This Row],[Posted]]),"Unknown",TODAY()-ApplicationTracker[[#This Row],[Posted]])</f>
        <v>Unknown</v>
      </c>
      <c r="D37" s="9">
        <f ca="1">TODAY()-ApplicationTracker[[#This Row],[Date]]</f>
        <v>31</v>
      </c>
      <c r="E37" t="s">
        <v>22</v>
      </c>
      <c r="F37" t="s">
        <v>79</v>
      </c>
      <c r="G37" t="s">
        <v>80</v>
      </c>
      <c r="H37" t="s">
        <v>20</v>
      </c>
      <c r="I37" t="e" vm="20">
        <v>#VALUE!</v>
      </c>
      <c r="J37" t="s">
        <v>11</v>
      </c>
      <c r="K37" s="4">
        <v>90000</v>
      </c>
      <c r="L37" s="4">
        <v>90000</v>
      </c>
      <c r="M37" s="4">
        <f>ROUND(IF(ApplicationTracker[[#This Row],[Salaried]]="No",ApplicationTracker[[#This Row],[Low]],ApplicationTracker[[#This Row],[Low]]/Fulltime40Year),2)</f>
        <v>43.27</v>
      </c>
      <c r="N37" s="4">
        <f>ROUND(IF(ApplicationTracker[[#This Row],[Salaried]]="No",ApplicationTracker[[#This Row],[High]],ApplicationTracker[[#This Row],[High]]/Fulltime40Year),2)</f>
        <v>43.27</v>
      </c>
      <c r="O37" s="6" t="str">
        <f>_xlfn.TEXTJOIN(" ",FALSE,"$",TEXT(ApplicationTracker[[#This Row],[H-L]],"#,##0.00"),"-","$",TEXT(ApplicationTracker[[#This Row],[H-H]],"#,##0.00"))</f>
        <v>$ 43.27 - $ 43.27</v>
      </c>
      <c r="P37" s="4">
        <f>ROUND(IF(ApplicationTracker[[#This Row],[Salaried]]="No",ApplicationTracker[[#This Row],[Low]]*Fulltime40Month,ApplicationTracker[[#This Row],[Y-L]]/12),2)</f>
        <v>7500</v>
      </c>
      <c r="Q37" s="4" cm="1">
        <f t="array" ref="Q37">ROUND(IF(ApplicationTracker[[#This Row],[Salaried]]="No",ApplicationTracker[[#This Row],[High]]*Fulltime40Month,ApplicationTracker[[#This Row],[Y-H]]/12),2)</f>
        <v>7500</v>
      </c>
      <c r="R37" s="6" t="str">
        <f>_xlfn.TEXTJOIN(" ",FALSE,"$",TEXT(ApplicationTracker[[#This Row],[M-L]],"#,##0.00"),"-","$",TEXT(ApplicationTracker[[#This Row],[M-H]],"#,##0.00"))</f>
        <v>$ 7,500.00 - $ 7,500.00</v>
      </c>
      <c r="S37" s="5" cm="1">
        <f t="array" ref="S37">IF(ApplicationTracker[[#This Row],[Salaried]]="Yes",ApplicationTracker[[#This Row],[Low]],ApplicationTracker[[#This Row],[M-L]]*12)</f>
        <v>90000</v>
      </c>
      <c r="T37" s="5" cm="1">
        <f t="array" ref="T37">IF(ApplicationTracker[[#This Row],[Salaried]]="Yes",ApplicationTracker[[#This Row],[High]],ApplicationTracker[[#This Row],[M-H]]*12)</f>
        <v>90000</v>
      </c>
      <c r="U37" s="6" t="str">
        <f>_xlfn.TEXTJOIN(" ",FALSE,"$",TEXT(ApplicationTracker[[#This Row],[Y-L]],"#,##0.00"),"-","$",TEXT(ApplicationTracker[[#This Row],[Y-H]],"#,##0.00"))</f>
        <v>$ 90,000.00 - $ 90,000.00</v>
      </c>
      <c r="V37" s="6">
        <v>3</v>
      </c>
      <c r="W37">
        <v>4</v>
      </c>
      <c r="X37" s="1">
        <v>46017</v>
      </c>
      <c r="Y37" s="1" t="s">
        <v>31</v>
      </c>
      <c r="Z37" s="3" t="s">
        <v>81</v>
      </c>
      <c r="AA37" t="str">
        <f>_xlfn.TEXTJOIN("",FALSE,LEFT(ApplicationTracker[[#This Row],[Company]],2),DEC2HEX(ApplicationTracker[[#This Row],[Date]]),DEC2HEX(ApplicationTracker[[#This Row],[Updated]]),LEFT(ApplicationTracker[[#This Row],[Job Title]],2),ApplicationTracker[[#This Row],[Want]]*ApplicationTracker[[#This Row],[Likely]])</f>
        <v>RoB3BEB3C1IT12</v>
      </c>
    </row>
    <row r="38" spans="1:27" x14ac:dyDescent="0.4">
      <c r="A38" s="2">
        <v>46014</v>
      </c>
      <c r="B38" s="2"/>
      <c r="C38" s="9" t="str">
        <f ca="1">IF(ISBLANK(ApplicationTracker[[#This Row],[Posted]]),"Unknown",TODAY()-ApplicationTracker[[#This Row],[Posted]])</f>
        <v>Unknown</v>
      </c>
      <c r="D38" s="9">
        <f ca="1">TODAY()-ApplicationTracker[[#This Row],[Date]]</f>
        <v>31</v>
      </c>
      <c r="E38" t="s">
        <v>22</v>
      </c>
      <c r="F38" t="s">
        <v>65</v>
      </c>
      <c r="G38" t="s">
        <v>97</v>
      </c>
      <c r="H38" t="s">
        <v>18</v>
      </c>
      <c r="I38" t="e" vm="21">
        <v>#VALUE!</v>
      </c>
      <c r="J38" t="s">
        <v>13</v>
      </c>
      <c r="K38" s="4">
        <v>20</v>
      </c>
      <c r="L38" s="4">
        <v>25</v>
      </c>
      <c r="M38" s="4">
        <f>ROUND(IF(ApplicationTracker[[#This Row],[Salaried]]="No",ApplicationTracker[[#This Row],[Low]],ApplicationTracker[[#This Row],[Low]]/Fulltime40Year),2)</f>
        <v>20</v>
      </c>
      <c r="N38" s="4">
        <f>ROUND(IF(ApplicationTracker[[#This Row],[Salaried]]="No",ApplicationTracker[[#This Row],[High]],ApplicationTracker[[#This Row],[High]]/Fulltime40Year),2)</f>
        <v>25</v>
      </c>
      <c r="O38" s="6" t="str">
        <f>_xlfn.TEXTJOIN(" ",FALSE,"$",TEXT(ApplicationTracker[[#This Row],[H-L]],"#,##0.00"),"-","$",TEXT(ApplicationTracker[[#This Row],[H-H]],"#,##0.00"))</f>
        <v>$ 20.00 - $ 25.00</v>
      </c>
      <c r="P38" s="4">
        <f>ROUND(IF(ApplicationTracker[[#This Row],[Salaried]]="No",ApplicationTracker[[#This Row],[Low]]*Fulltime40Month,ApplicationTracker[[#This Row],[Y-L]]/12),2)</f>
        <v>3200</v>
      </c>
      <c r="Q38" s="4" cm="1">
        <f t="array" ref="Q38">ROUND(IF(ApplicationTracker[[#This Row],[Salaried]]="No",ApplicationTracker[[#This Row],[High]]*Fulltime40Month,ApplicationTracker[[#This Row],[Y-H]]/12),2)</f>
        <v>4000</v>
      </c>
      <c r="R38" s="6" t="str">
        <f>_xlfn.TEXTJOIN(" ",FALSE,"$",TEXT(ApplicationTracker[[#This Row],[M-L]],"#,##0.00"),"-","$",TEXT(ApplicationTracker[[#This Row],[M-H]],"#,##0.00"))</f>
        <v>$ 3,200.00 - $ 4,000.00</v>
      </c>
      <c r="S38" s="5" cm="1">
        <f t="array" ref="S38">IF(ApplicationTracker[[#This Row],[Salaried]]="Yes",ApplicationTracker[[#This Row],[Low]],ApplicationTracker[[#This Row],[M-L]]*12)</f>
        <v>38400</v>
      </c>
      <c r="T38" s="5" cm="1">
        <f t="array" ref="T38">IF(ApplicationTracker[[#This Row],[Salaried]]="Yes",ApplicationTracker[[#This Row],[High]],ApplicationTracker[[#This Row],[M-H]]*12)</f>
        <v>48000</v>
      </c>
      <c r="U38" s="6" t="str">
        <f>_xlfn.TEXTJOIN(" ",FALSE,"$",TEXT(ApplicationTracker[[#This Row],[Y-L]],"#,##0.00"),"-","$",TEXT(ApplicationTracker[[#This Row],[Y-H]],"#,##0.00"))</f>
        <v>$ 38,400.00 - $ 48,000.00</v>
      </c>
      <c r="V38" s="6">
        <v>1</v>
      </c>
      <c r="W38">
        <v>4</v>
      </c>
      <c r="X38" s="1">
        <v>46017</v>
      </c>
      <c r="Y38" s="1" t="s">
        <v>31</v>
      </c>
      <c r="Z38" s="3" t="s">
        <v>98</v>
      </c>
      <c r="AA38" t="str">
        <f>_xlfn.TEXTJOIN("",FALSE,LEFT(ApplicationTracker[[#This Row],[Company]],2),DEC2HEX(ApplicationTracker[[#This Row],[Date]]),DEC2HEX(ApplicationTracker[[#This Row],[Updated]]),LEFT(ApplicationTracker[[#This Row],[Job Title]],2),ApplicationTracker[[#This Row],[Want]]*ApplicationTracker[[#This Row],[Likely]])</f>
        <v>USB3BEB3C1IT4</v>
      </c>
    </row>
    <row r="39" spans="1:27" x14ac:dyDescent="0.4">
      <c r="A39" s="2">
        <v>45998</v>
      </c>
      <c r="B39" s="2"/>
      <c r="C39" s="9" t="str">
        <f ca="1">IF(ISBLANK(ApplicationTracker[[#This Row],[Posted]]),"Unknown",TODAY()-ApplicationTracker[[#This Row],[Posted]])</f>
        <v>Unknown</v>
      </c>
      <c r="D39" s="9">
        <f ca="1">TODAY()-ApplicationTracker[[#This Row],[Date]]</f>
        <v>47</v>
      </c>
      <c r="E39" t="s">
        <v>22</v>
      </c>
      <c r="F39" t="s">
        <v>196</v>
      </c>
      <c r="G39" t="s">
        <v>197</v>
      </c>
      <c r="H39" t="s">
        <v>18</v>
      </c>
      <c r="I39" t="e" vm="3">
        <v>#VALUE!</v>
      </c>
      <c r="J39" t="s">
        <v>11</v>
      </c>
      <c r="K39" s="4">
        <v>60000</v>
      </c>
      <c r="L39" s="4">
        <v>60000</v>
      </c>
      <c r="M39" s="4">
        <f>ROUND(IF(ApplicationTracker[[#This Row],[Salaried]]="No",ApplicationTracker[[#This Row],[Low]],ApplicationTracker[[#This Row],[Low]]/Fulltime40Year),2)</f>
        <v>28.85</v>
      </c>
      <c r="N39" s="4">
        <f>ROUND(IF(ApplicationTracker[[#This Row],[Salaried]]="No",ApplicationTracker[[#This Row],[High]],ApplicationTracker[[#This Row],[High]]/Fulltime40Year),2)</f>
        <v>28.85</v>
      </c>
      <c r="O39" s="6" t="str">
        <f>_xlfn.TEXTJOIN(" ",FALSE,"$",TEXT(ApplicationTracker[[#This Row],[H-L]],"#,##0.00"),"-","$",TEXT(ApplicationTracker[[#This Row],[H-H]],"#,##0.00"))</f>
        <v>$ 28.85 - $ 28.85</v>
      </c>
      <c r="P39" s="4">
        <f>ROUND(IF(ApplicationTracker[[#This Row],[Salaried]]="No",ApplicationTracker[[#This Row],[Low]]*Fulltime40Month,ApplicationTracker[[#This Row],[Y-L]]/12),2)</f>
        <v>5000</v>
      </c>
      <c r="Q39" s="4" cm="1">
        <f t="array" ref="Q39">ROUND(IF(ApplicationTracker[[#This Row],[Salaried]]="No",ApplicationTracker[[#This Row],[High]]*Fulltime40Month,ApplicationTracker[[#This Row],[Y-H]]/12),2)</f>
        <v>5000</v>
      </c>
      <c r="R39" s="6" t="str">
        <f>_xlfn.TEXTJOIN(" ",FALSE,"$",TEXT(ApplicationTracker[[#This Row],[M-L]],"#,##0.00"),"-","$",TEXT(ApplicationTracker[[#This Row],[M-H]],"#,##0.00"))</f>
        <v>$ 5,000.00 - $ 5,000.00</v>
      </c>
      <c r="S39" s="5" cm="1">
        <f t="array" ref="S39">IF(ApplicationTracker[[#This Row],[Salaried]]="Yes",ApplicationTracker[[#This Row],[Low]],ApplicationTracker[[#This Row],[M-L]]*12)</f>
        <v>60000</v>
      </c>
      <c r="T39" s="5" cm="1">
        <f t="array" ref="T39">IF(ApplicationTracker[[#This Row],[Salaried]]="Yes",ApplicationTracker[[#This Row],[High]],ApplicationTracker[[#This Row],[M-H]]*12)</f>
        <v>60000</v>
      </c>
      <c r="U39" s="6" t="str">
        <f>_xlfn.TEXTJOIN(" ",FALSE,"$",TEXT(ApplicationTracker[[#This Row],[Y-L]],"#,##0.00"),"-","$",TEXT(ApplicationTracker[[#This Row],[Y-H]],"#,##0.00"))</f>
        <v>$ 60,000.00 - $ 60,000.00</v>
      </c>
      <c r="V39" s="6">
        <v>1</v>
      </c>
      <c r="W39">
        <v>4</v>
      </c>
      <c r="X39" s="1">
        <v>46023</v>
      </c>
      <c r="Y39" s="1" t="s">
        <v>173</v>
      </c>
      <c r="Z39" s="3" t="s">
        <v>198</v>
      </c>
      <c r="AA39" t="str">
        <f>_xlfn.TEXTJOIN("",FALSE,LEFT(ApplicationTracker[[#This Row],[Company]],2),DEC2HEX(ApplicationTracker[[#This Row],[Date]]),DEC2HEX(ApplicationTracker[[#This Row],[Updated]]),LEFT(ApplicationTracker[[#This Row],[Job Title]],2),ApplicationTracker[[#This Row],[Want]]*ApplicationTracker[[#This Row],[Likely]])</f>
        <v>FrB3AEB3C7IT4</v>
      </c>
    </row>
    <row r="40" spans="1:27" x14ac:dyDescent="0.4">
      <c r="A40" s="2">
        <v>46029</v>
      </c>
      <c r="B40" s="2">
        <v>46023</v>
      </c>
      <c r="C40" s="9">
        <f ca="1">IF(ISBLANK(ApplicationTracker[[#This Row],[Posted]]),"Unknown",TODAY()-ApplicationTracker[[#This Row],[Posted]])</f>
        <v>22</v>
      </c>
      <c r="D40" s="9">
        <f ca="1">TODAY()-ApplicationTracker[[#This Row],[Date]]</f>
        <v>16</v>
      </c>
      <c r="E40" t="s">
        <v>22</v>
      </c>
      <c r="F40" t="s">
        <v>217</v>
      </c>
      <c r="G40" t="s">
        <v>218</v>
      </c>
      <c r="H40" t="s">
        <v>18</v>
      </c>
      <c r="I40" t="e" vm="22">
        <v>#VALUE!</v>
      </c>
      <c r="J40" t="s">
        <v>13</v>
      </c>
      <c r="K40" s="4">
        <v>35.79</v>
      </c>
      <c r="L40" s="4">
        <v>46.53</v>
      </c>
      <c r="M40" s="4">
        <f>ROUND(IF(ApplicationTracker[[#This Row],[Salaried]]="No",ApplicationTracker[[#This Row],[Low]],ApplicationTracker[[#This Row],[Low]]/Fulltime40Year),2)</f>
        <v>35.79</v>
      </c>
      <c r="N40" s="4">
        <f>ROUND(IF(ApplicationTracker[[#This Row],[Salaried]]="No",ApplicationTracker[[#This Row],[High]],ApplicationTracker[[#This Row],[High]]/Fulltime40Year),2)</f>
        <v>46.53</v>
      </c>
      <c r="O40" s="6" t="str">
        <f>_xlfn.TEXTJOIN(" ",FALSE,"$",TEXT(ApplicationTracker[[#This Row],[H-L]],"#,##0.00"),"-","$",TEXT(ApplicationTracker[[#This Row],[H-H]],"#,##0.00"))</f>
        <v>$ 35.79 - $ 46.53</v>
      </c>
      <c r="P40" s="4">
        <f>ROUND(IF(ApplicationTracker[[#This Row],[Salaried]]="No",ApplicationTracker[[#This Row],[Low]]*Fulltime40Month,ApplicationTracker[[#This Row],[Y-L]]/12),2)</f>
        <v>5726.4</v>
      </c>
      <c r="Q40" s="4" cm="1">
        <f t="array" ref="Q40">ROUND(IF(ApplicationTracker[[#This Row],[Salaried]]="No",ApplicationTracker[[#This Row],[High]]*Fulltime40Month,ApplicationTracker[[#This Row],[Y-H]]/12),2)</f>
        <v>7444.8</v>
      </c>
      <c r="R40" s="6" t="str">
        <f>_xlfn.TEXTJOIN(" ",FALSE,"$",TEXT(ApplicationTracker[[#This Row],[M-L]],"#,##0.00"),"-","$",TEXT(ApplicationTracker[[#This Row],[M-H]],"#,##0.00"))</f>
        <v>$ 5,726.40 - $ 7,444.80</v>
      </c>
      <c r="S40" s="5" cm="1">
        <f t="array" ref="S40">IF(ApplicationTracker[[#This Row],[Salaried]]="Yes",ApplicationTracker[[#This Row],[Low]],ApplicationTracker[[#This Row],[M-L]]*12)</f>
        <v>68716.799999999988</v>
      </c>
      <c r="T40" s="5" cm="1">
        <f t="array" ref="T40">IF(ApplicationTracker[[#This Row],[Salaried]]="Yes",ApplicationTracker[[#This Row],[High]],ApplicationTracker[[#This Row],[M-H]]*12)</f>
        <v>89337.600000000006</v>
      </c>
      <c r="U40" s="6" t="str">
        <f>_xlfn.TEXTJOIN(" ",FALSE,"$",TEXT(ApplicationTracker[[#This Row],[Y-L]],"#,##0.00"),"-","$",TEXT(ApplicationTracker[[#This Row],[Y-H]],"#,##0.00"))</f>
        <v>$ 68,716.80 - $ 89,337.60</v>
      </c>
      <c r="V40" s="6">
        <v>1</v>
      </c>
      <c r="W40">
        <v>3</v>
      </c>
      <c r="X40" s="1">
        <v>46029</v>
      </c>
      <c r="Y40" s="1" t="s">
        <v>29</v>
      </c>
      <c r="Z40" s="3" t="s">
        <v>219</v>
      </c>
      <c r="AA40" t="str">
        <f>_xlfn.TEXTJOIN("",FALSE,LEFT(ApplicationTracker[[#This Row],[Company]],2),DEC2HEX(ApplicationTracker[[#This Row],[Date]]),DEC2HEX(ApplicationTracker[[#This Row],[Updated]]),LEFT(ApplicationTracker[[#This Row],[Job Title]],2),ApplicationTracker[[#This Row],[Want]]*ApplicationTracker[[#This Row],[Likely]])</f>
        <v>DLB3CDB3CDIT3</v>
      </c>
    </row>
    <row r="41" spans="1:27" x14ac:dyDescent="0.4">
      <c r="A41" s="2">
        <v>46018</v>
      </c>
      <c r="B41" s="2"/>
      <c r="C41" s="9" t="str">
        <f ca="1">IF(ISBLANK(ApplicationTracker[[#This Row],[Posted]]),"Unknown",TODAY()-ApplicationTracker[[#This Row],[Posted]])</f>
        <v>Unknown</v>
      </c>
      <c r="D41" s="9">
        <f ca="1">TODAY()-ApplicationTracker[[#This Row],[Date]]</f>
        <v>27</v>
      </c>
      <c r="E41" t="s">
        <v>22</v>
      </c>
      <c r="F41" t="s">
        <v>123</v>
      </c>
      <c r="G41" t="s">
        <v>124</v>
      </c>
      <c r="H41" t="s">
        <v>18</v>
      </c>
      <c r="I41" t="e" vm="3">
        <v>#VALUE!</v>
      </c>
      <c r="J41" t="s">
        <v>11</v>
      </c>
      <c r="K41" s="4"/>
      <c r="L41" s="4"/>
      <c r="M41" s="4">
        <f>ROUND(IF(ApplicationTracker[[#This Row],[Salaried]]="No",ApplicationTracker[[#This Row],[Low]],ApplicationTracker[[#This Row],[Low]]/Fulltime40Year),2)</f>
        <v>0</v>
      </c>
      <c r="N41" s="4">
        <f>ROUND(IF(ApplicationTracker[[#This Row],[Salaried]]="No",ApplicationTracker[[#This Row],[High]],ApplicationTracker[[#This Row],[High]]/Fulltime40Year),2)</f>
        <v>0</v>
      </c>
      <c r="O41" s="6" t="str">
        <f>_xlfn.TEXTJOIN(" ",FALSE,"$",TEXT(ApplicationTracker[[#This Row],[H-L]],"#,##0.00"),"-","$",TEXT(ApplicationTracker[[#This Row],[H-H]],"#,##0.00"))</f>
        <v>$ 0.00 - $ 0.00</v>
      </c>
      <c r="P41" s="4">
        <f>ROUND(IF(ApplicationTracker[[#This Row],[Salaried]]="No",ApplicationTracker[[#This Row],[Low]]*Fulltime40Month,ApplicationTracker[[#This Row],[Y-L]]/12),2)</f>
        <v>0</v>
      </c>
      <c r="Q41" s="4" cm="1">
        <f t="array" ref="Q41">ROUND(IF(ApplicationTracker[[#This Row],[Salaried]]="No",ApplicationTracker[[#This Row],[High]]*Fulltime40Month,ApplicationTracker[[#This Row],[Y-H]]/12),2)</f>
        <v>0</v>
      </c>
      <c r="R41" s="6" t="str">
        <f>_xlfn.TEXTJOIN(" ",FALSE,"$",TEXT(ApplicationTracker[[#This Row],[M-L]],"#,##0.00"),"-","$",TEXT(ApplicationTracker[[#This Row],[M-H]],"#,##0.00"))</f>
        <v>$ 0.00 - $ 0.00</v>
      </c>
      <c r="S41" s="5" cm="1">
        <f t="array" ref="S41">IF(ApplicationTracker[[#This Row],[Salaried]]="Yes",ApplicationTracker[[#This Row],[Low]],ApplicationTracker[[#This Row],[M-L]]*12)</f>
        <v>0</v>
      </c>
      <c r="T41" s="5" cm="1">
        <f t="array" ref="T41">IF(ApplicationTracker[[#This Row],[Salaried]]="Yes",ApplicationTracker[[#This Row],[High]],ApplicationTracker[[#This Row],[M-H]]*12)</f>
        <v>0</v>
      </c>
      <c r="U41" s="6" t="str">
        <f>_xlfn.TEXTJOIN(" ",FALSE,"$",TEXT(ApplicationTracker[[#This Row],[Y-L]],"#,##0.00"),"-","$",TEXT(ApplicationTracker[[#This Row],[Y-H]],"#,##0.00"))</f>
        <v>$ 0.00 - $ 0.00</v>
      </c>
      <c r="V41" s="6">
        <v>1</v>
      </c>
      <c r="W41">
        <v>3</v>
      </c>
      <c r="X41" s="1">
        <v>46018</v>
      </c>
      <c r="Y41" s="1" t="s">
        <v>31</v>
      </c>
      <c r="Z41" s="3" t="s">
        <v>125</v>
      </c>
      <c r="AA41" t="str">
        <f>_xlfn.TEXTJOIN("",FALSE,LEFT(ApplicationTracker[[#This Row],[Company]],2),DEC2HEX(ApplicationTracker[[#This Row],[Date]]),DEC2HEX(ApplicationTracker[[#This Row],[Updated]]),LEFT(ApplicationTracker[[#This Row],[Job Title]],2),ApplicationTracker[[#This Row],[Want]]*ApplicationTracker[[#This Row],[Likely]])</f>
        <v>AmB3C2B3C2De3</v>
      </c>
    </row>
    <row r="42" spans="1:27" x14ac:dyDescent="0.4">
      <c r="A42" s="2">
        <v>46018</v>
      </c>
      <c r="B42" s="2"/>
      <c r="C42" s="9" t="str">
        <f ca="1">IF(ISBLANK(ApplicationTracker[[#This Row],[Posted]]),"Unknown",TODAY()-ApplicationTracker[[#This Row],[Posted]])</f>
        <v>Unknown</v>
      </c>
      <c r="D42" s="9">
        <f ca="1">TODAY()-ApplicationTracker[[#This Row],[Date]]</f>
        <v>27</v>
      </c>
      <c r="E42" t="s">
        <v>22</v>
      </c>
      <c r="F42" t="s">
        <v>142</v>
      </c>
      <c r="G42" t="s">
        <v>143</v>
      </c>
      <c r="H42" t="s">
        <v>18</v>
      </c>
      <c r="I42" t="e" vm="3">
        <v>#VALUE!</v>
      </c>
      <c r="J42" t="s">
        <v>11</v>
      </c>
      <c r="K42" s="4"/>
      <c r="L42" s="4"/>
      <c r="M42" s="4">
        <f>ROUND(IF(ApplicationTracker[[#This Row],[Salaried]]="No",ApplicationTracker[[#This Row],[Low]],ApplicationTracker[[#This Row],[Low]]/Fulltime40Year),2)</f>
        <v>0</v>
      </c>
      <c r="N42" s="4">
        <f>ROUND(IF(ApplicationTracker[[#This Row],[Salaried]]="No",ApplicationTracker[[#This Row],[High]],ApplicationTracker[[#This Row],[High]]/Fulltime40Year),2)</f>
        <v>0</v>
      </c>
      <c r="O42" s="6" t="str">
        <f>_xlfn.TEXTJOIN(" ",FALSE,"$",TEXT(ApplicationTracker[[#This Row],[H-L]],"#,##0.00"),"-","$",TEXT(ApplicationTracker[[#This Row],[H-H]],"#,##0.00"))</f>
        <v>$ 0.00 - $ 0.00</v>
      </c>
      <c r="P42" s="4">
        <f>ROUND(IF(ApplicationTracker[[#This Row],[Salaried]]="No",ApplicationTracker[[#This Row],[Low]]*Fulltime40Month,ApplicationTracker[[#This Row],[Y-L]]/12),2)</f>
        <v>0</v>
      </c>
      <c r="Q42" s="4" cm="1">
        <f t="array" ref="Q42">ROUND(IF(ApplicationTracker[[#This Row],[Salaried]]="No",ApplicationTracker[[#This Row],[High]]*Fulltime40Month,ApplicationTracker[[#This Row],[Y-H]]/12),2)</f>
        <v>0</v>
      </c>
      <c r="R42" s="6" t="str">
        <f>_xlfn.TEXTJOIN(" ",FALSE,"$",TEXT(ApplicationTracker[[#This Row],[M-L]],"#,##0.00"),"-","$",TEXT(ApplicationTracker[[#This Row],[M-H]],"#,##0.00"))</f>
        <v>$ 0.00 - $ 0.00</v>
      </c>
      <c r="S42" s="5" cm="1">
        <f t="array" ref="S42">IF(ApplicationTracker[[#This Row],[Salaried]]="Yes",ApplicationTracker[[#This Row],[Low]],ApplicationTracker[[#This Row],[M-L]]*12)</f>
        <v>0</v>
      </c>
      <c r="T42" s="5" cm="1">
        <f t="array" ref="T42">IF(ApplicationTracker[[#This Row],[Salaried]]="Yes",ApplicationTracker[[#This Row],[High]],ApplicationTracker[[#This Row],[M-H]]*12)</f>
        <v>0</v>
      </c>
      <c r="U42" s="6" t="str">
        <f>_xlfn.TEXTJOIN(" ",FALSE,"$",TEXT(ApplicationTracker[[#This Row],[Y-L]],"#,##0.00"),"-","$",TEXT(ApplicationTracker[[#This Row],[Y-H]],"#,##0.00"))</f>
        <v>$ 0.00 - $ 0.00</v>
      </c>
      <c r="V42" s="6">
        <v>1</v>
      </c>
      <c r="W42">
        <v>3</v>
      </c>
      <c r="X42" s="1">
        <v>46018</v>
      </c>
      <c r="Y42" s="1" t="s">
        <v>31</v>
      </c>
      <c r="Z42" s="3" t="s">
        <v>144</v>
      </c>
      <c r="AA42" t="str">
        <f>_xlfn.TEXTJOIN("",FALSE,LEFT(ApplicationTracker[[#This Row],[Company]],2),DEC2HEX(ApplicationTracker[[#This Row],[Date]]),DEC2HEX(ApplicationTracker[[#This Row],[Updated]]),LEFT(ApplicationTracker[[#This Row],[Job Title]],2),ApplicationTracker[[#This Row],[Want]]*ApplicationTracker[[#This Row],[Likely]])</f>
        <v>InB3C2B3C2Te3</v>
      </c>
    </row>
    <row r="43" spans="1:27" x14ac:dyDescent="0.4">
      <c r="A43" s="2">
        <v>46014</v>
      </c>
      <c r="B43" s="2"/>
      <c r="C43" s="9" t="str">
        <f ca="1">IF(ISBLANK(ApplicationTracker[[#This Row],[Posted]]),"Unknown",TODAY()-ApplicationTracker[[#This Row],[Posted]])</f>
        <v>Unknown</v>
      </c>
      <c r="D43" s="9">
        <f ca="1">TODAY()-ApplicationTracker[[#This Row],[Date]]</f>
        <v>31</v>
      </c>
      <c r="E43" t="s">
        <v>22</v>
      </c>
      <c r="F43" t="s">
        <v>82</v>
      </c>
      <c r="G43" t="s">
        <v>80</v>
      </c>
      <c r="H43" t="s">
        <v>18</v>
      </c>
      <c r="I43" t="e" vm="23">
        <v>#VALUE!</v>
      </c>
      <c r="J43" t="s">
        <v>11</v>
      </c>
      <c r="K43" s="4">
        <v>80000</v>
      </c>
      <c r="L43" s="4">
        <v>120000</v>
      </c>
      <c r="M43" s="4">
        <f>ROUND(IF(ApplicationTracker[[#This Row],[Salaried]]="No",ApplicationTracker[[#This Row],[Low]],ApplicationTracker[[#This Row],[Low]]/Fulltime40Year),2)</f>
        <v>38.46</v>
      </c>
      <c r="N43" s="4">
        <f>ROUND(IF(ApplicationTracker[[#This Row],[Salaried]]="No",ApplicationTracker[[#This Row],[High]],ApplicationTracker[[#This Row],[High]]/Fulltime40Year),2)</f>
        <v>57.69</v>
      </c>
      <c r="O43" s="6" t="str">
        <f>_xlfn.TEXTJOIN(" ",FALSE,"$",TEXT(ApplicationTracker[[#This Row],[H-L]],"#,##0.00"),"-","$",TEXT(ApplicationTracker[[#This Row],[H-H]],"#,##0.00"))</f>
        <v>$ 38.46 - $ 57.69</v>
      </c>
      <c r="P43" s="4">
        <f>ROUND(IF(ApplicationTracker[[#This Row],[Salaried]]="No",ApplicationTracker[[#This Row],[Low]]*Fulltime40Month,ApplicationTracker[[#This Row],[Y-L]]/12),2)</f>
        <v>6666.67</v>
      </c>
      <c r="Q43" s="4" cm="1">
        <f t="array" ref="Q43">ROUND(IF(ApplicationTracker[[#This Row],[Salaried]]="No",ApplicationTracker[[#This Row],[High]]*Fulltime40Month,ApplicationTracker[[#This Row],[Y-H]]/12),2)</f>
        <v>10000</v>
      </c>
      <c r="R43" s="6" t="str">
        <f>_xlfn.TEXTJOIN(" ",FALSE,"$",TEXT(ApplicationTracker[[#This Row],[M-L]],"#,##0.00"),"-","$",TEXT(ApplicationTracker[[#This Row],[M-H]],"#,##0.00"))</f>
        <v>$ 6,666.67 - $ 10,000.00</v>
      </c>
      <c r="S43" s="5" cm="1">
        <f t="array" ref="S43">IF(ApplicationTracker[[#This Row],[Salaried]]="Yes",ApplicationTracker[[#This Row],[Low]],ApplicationTracker[[#This Row],[M-L]]*12)</f>
        <v>80000</v>
      </c>
      <c r="T43" s="5" cm="1">
        <f t="array" ref="T43">IF(ApplicationTracker[[#This Row],[Salaried]]="Yes",ApplicationTracker[[#This Row],[High]],ApplicationTracker[[#This Row],[M-H]]*12)</f>
        <v>120000</v>
      </c>
      <c r="U43" s="6" t="str">
        <f>_xlfn.TEXTJOIN(" ",FALSE,"$",TEXT(ApplicationTracker[[#This Row],[Y-L]],"#,##0.00"),"-","$",TEXT(ApplicationTracker[[#This Row],[Y-H]],"#,##0.00"))</f>
        <v>$ 80,000.00 - $ 120,000.00</v>
      </c>
      <c r="V43" s="6">
        <v>2</v>
      </c>
      <c r="W43">
        <v>3</v>
      </c>
      <c r="X43" s="1">
        <v>46017</v>
      </c>
      <c r="Y43" s="1" t="s">
        <v>31</v>
      </c>
      <c r="Z43" s="3" t="s">
        <v>83</v>
      </c>
      <c r="AA43" t="str">
        <f>_xlfn.TEXTJOIN("",FALSE,LEFT(ApplicationTracker[[#This Row],[Company]],2),DEC2HEX(ApplicationTracker[[#This Row],[Date]]),DEC2HEX(ApplicationTracker[[#This Row],[Updated]]),LEFT(ApplicationTracker[[#This Row],[Job Title]],2),ApplicationTracker[[#This Row],[Want]]*ApplicationTracker[[#This Row],[Likely]])</f>
        <v>RoB3BEB3C1In6</v>
      </c>
    </row>
    <row r="44" spans="1:27" x14ac:dyDescent="0.4">
      <c r="A44" s="2">
        <v>46015</v>
      </c>
      <c r="B44" s="2"/>
      <c r="C44" s="9" t="str">
        <f ca="1">IF(ISBLANK(ApplicationTracker[[#This Row],[Posted]]),"Unknown",TODAY()-ApplicationTracker[[#This Row],[Posted]])</f>
        <v>Unknown</v>
      </c>
      <c r="D44" s="9">
        <f ca="1">TODAY()-ApplicationTracker[[#This Row],[Date]]</f>
        <v>30</v>
      </c>
      <c r="E44" t="s">
        <v>22</v>
      </c>
      <c r="F44" t="s">
        <v>76</v>
      </c>
      <c r="G44" t="s">
        <v>147</v>
      </c>
      <c r="H44" t="s">
        <v>20</v>
      </c>
      <c r="I44" t="e" vm="3">
        <v>#VALUE!</v>
      </c>
      <c r="J44" t="s">
        <v>11</v>
      </c>
      <c r="K44" s="4">
        <v>65000</v>
      </c>
      <c r="L44" s="4">
        <v>75000</v>
      </c>
      <c r="M44" s="4">
        <f>ROUND(IF(ApplicationTracker[[#This Row],[Salaried]]="No",ApplicationTracker[[#This Row],[Low]],ApplicationTracker[[#This Row],[Low]]/Fulltime40Year),2)</f>
        <v>31.25</v>
      </c>
      <c r="N44" s="4">
        <f>ROUND(IF(ApplicationTracker[[#This Row],[Salaried]]="No",ApplicationTracker[[#This Row],[High]],ApplicationTracker[[#This Row],[High]]/Fulltime40Year),2)</f>
        <v>36.06</v>
      </c>
      <c r="O44" s="6" t="str">
        <f>_xlfn.TEXTJOIN(" ",FALSE,"$",TEXT(ApplicationTracker[[#This Row],[H-L]],"#,##0.00"),"-","$",TEXT(ApplicationTracker[[#This Row],[H-H]],"#,##0.00"))</f>
        <v>$ 31.25 - $ 36.06</v>
      </c>
      <c r="P44" s="4">
        <f>ROUND(IF(ApplicationTracker[[#This Row],[Salaried]]="No",ApplicationTracker[[#This Row],[Low]]*Fulltime40Month,ApplicationTracker[[#This Row],[Y-L]]/12),2)</f>
        <v>5416.67</v>
      </c>
      <c r="Q44" s="4" cm="1">
        <f t="array" ref="Q44">ROUND(IF(ApplicationTracker[[#This Row],[Salaried]]="No",ApplicationTracker[[#This Row],[High]]*Fulltime40Month,ApplicationTracker[[#This Row],[Y-H]]/12),2)</f>
        <v>6250</v>
      </c>
      <c r="R44" s="6" t="str">
        <f>_xlfn.TEXTJOIN(" ",FALSE,"$",TEXT(ApplicationTracker[[#This Row],[M-L]],"#,##0.00"),"-","$",TEXT(ApplicationTracker[[#This Row],[M-H]],"#,##0.00"))</f>
        <v>$ 5,416.67 - $ 6,250.00</v>
      </c>
      <c r="S44" s="5" cm="1">
        <f t="array" ref="S44">IF(ApplicationTracker[[#This Row],[Salaried]]="Yes",ApplicationTracker[[#This Row],[Low]],ApplicationTracker[[#This Row],[M-L]]*12)</f>
        <v>65000</v>
      </c>
      <c r="T44" s="5" cm="1">
        <f t="array" ref="T44">IF(ApplicationTracker[[#This Row],[Salaried]]="Yes",ApplicationTracker[[#This Row],[High]],ApplicationTracker[[#This Row],[M-H]]*12)</f>
        <v>75000</v>
      </c>
      <c r="U44" s="6" t="str">
        <f>_xlfn.TEXTJOIN(" ",FALSE,"$",TEXT(ApplicationTracker[[#This Row],[Y-L]],"#,##0.00"),"-","$",TEXT(ApplicationTracker[[#This Row],[Y-H]],"#,##0.00"))</f>
        <v>$ 65,000.00 - $ 75,000.00</v>
      </c>
      <c r="V44" s="6">
        <v>0</v>
      </c>
      <c r="W44">
        <v>2</v>
      </c>
      <c r="X44" s="1">
        <v>46018</v>
      </c>
      <c r="Y44" s="1" t="s">
        <v>31</v>
      </c>
      <c r="Z44" s="3" t="s">
        <v>148</v>
      </c>
      <c r="AA44" t="str">
        <f>_xlfn.TEXTJOIN("",FALSE,LEFT(ApplicationTracker[[#This Row],[Company]],2),DEC2HEX(ApplicationTracker[[#This Row],[Date]]),DEC2HEX(ApplicationTracker[[#This Row],[Updated]]),LEFT(ApplicationTracker[[#This Row],[Job Title]],2),ApplicationTracker[[#This Row],[Want]]*ApplicationTracker[[#This Row],[Likely]])</f>
        <v>FoB3BFB3C2In0</v>
      </c>
    </row>
    <row r="45" spans="1:27" x14ac:dyDescent="0.4">
      <c r="A45" s="2">
        <v>45998</v>
      </c>
      <c r="B45" s="2"/>
      <c r="C45" s="9" t="str">
        <f ca="1">IF(ISBLANK(ApplicationTracker[[#This Row],[Posted]]),"Unknown",TODAY()-ApplicationTracker[[#This Row],[Posted]])</f>
        <v>Unknown</v>
      </c>
      <c r="D45" s="9">
        <f ca="1">TODAY()-ApplicationTracker[[#This Row],[Date]]</f>
        <v>47</v>
      </c>
      <c r="E45" t="s">
        <v>22</v>
      </c>
      <c r="F45" t="s">
        <v>199</v>
      </c>
      <c r="G45" t="s">
        <v>197</v>
      </c>
      <c r="H45" t="s">
        <v>18</v>
      </c>
      <c r="I45" t="e" vm="3">
        <v>#VALUE!</v>
      </c>
      <c r="J45" t="s">
        <v>11</v>
      </c>
      <c r="K45" s="4">
        <v>135824</v>
      </c>
      <c r="L45" s="4">
        <v>159793</v>
      </c>
      <c r="M45" s="4">
        <f>ROUND(IF(ApplicationTracker[[#This Row],[Salaried]]="No",ApplicationTracker[[#This Row],[Low]],ApplicationTracker[[#This Row],[Low]]/Fulltime40Year),2)</f>
        <v>65.3</v>
      </c>
      <c r="N45" s="4">
        <f>ROUND(IF(ApplicationTracker[[#This Row],[Salaried]]="No",ApplicationTracker[[#This Row],[High]],ApplicationTracker[[#This Row],[High]]/Fulltime40Year),2)</f>
        <v>76.819999999999993</v>
      </c>
      <c r="O45" s="6" t="str">
        <f>_xlfn.TEXTJOIN(" ",FALSE,"$",TEXT(ApplicationTracker[[#This Row],[H-L]],"#,##0.00"),"-","$",TEXT(ApplicationTracker[[#This Row],[H-H]],"#,##0.00"))</f>
        <v>$ 65.30 - $ 76.82</v>
      </c>
      <c r="P45" s="4">
        <f>ROUND(IF(ApplicationTracker[[#This Row],[Salaried]]="No",ApplicationTracker[[#This Row],[Low]]*Fulltime40Month,ApplicationTracker[[#This Row],[Y-L]]/12),2)</f>
        <v>11318.67</v>
      </c>
      <c r="Q45" s="4" cm="1">
        <f t="array" ref="Q45">ROUND(IF(ApplicationTracker[[#This Row],[Salaried]]="No",ApplicationTracker[[#This Row],[High]]*Fulltime40Month,ApplicationTracker[[#This Row],[Y-H]]/12),2)</f>
        <v>13316.08</v>
      </c>
      <c r="R45" s="6" t="str">
        <f>_xlfn.TEXTJOIN(" ",FALSE,"$",TEXT(ApplicationTracker[[#This Row],[M-L]],"#,##0.00"),"-","$",TEXT(ApplicationTracker[[#This Row],[M-H]],"#,##0.00"))</f>
        <v>$ 11,318.67 - $ 13,316.08</v>
      </c>
      <c r="S45" s="5" cm="1">
        <f t="array" ref="S45">IF(ApplicationTracker[[#This Row],[Salaried]]="Yes",ApplicationTracker[[#This Row],[Low]],ApplicationTracker[[#This Row],[M-L]]*12)</f>
        <v>135824</v>
      </c>
      <c r="T45" s="5" cm="1">
        <f t="array" ref="T45">IF(ApplicationTracker[[#This Row],[Salaried]]="Yes",ApplicationTracker[[#This Row],[High]],ApplicationTracker[[#This Row],[M-H]]*12)</f>
        <v>159793</v>
      </c>
      <c r="U45" s="6" t="str">
        <f>_xlfn.TEXTJOIN(" ",FALSE,"$",TEXT(ApplicationTracker[[#This Row],[Y-L]],"#,##0.00"),"-","$",TEXT(ApplicationTracker[[#This Row],[Y-H]],"#,##0.00"))</f>
        <v>$ 135,824.00 - $ 159,793.00</v>
      </c>
      <c r="V45" s="6">
        <v>0</v>
      </c>
      <c r="W45">
        <v>2</v>
      </c>
      <c r="X45" s="1">
        <v>46023</v>
      </c>
      <c r="Y45" s="1" t="s">
        <v>29</v>
      </c>
      <c r="AA45" t="str">
        <f>_xlfn.TEXTJOIN("",FALSE,LEFT(ApplicationTracker[[#This Row],[Company]],2),DEC2HEX(ApplicationTracker[[#This Row],[Date]]),DEC2HEX(ApplicationTracker[[#This Row],[Updated]]),LEFT(ApplicationTracker[[#This Row],[Job Title]],2),ApplicationTracker[[#This Row],[Want]]*ApplicationTracker[[#This Row],[Likely]])</f>
        <v>FrB3AEB3C7Wi0</v>
      </c>
    </row>
    <row r="46" spans="1:27" x14ac:dyDescent="0.4">
      <c r="A46" s="2">
        <v>46025</v>
      </c>
      <c r="B46" s="2"/>
      <c r="C46" s="9" t="str">
        <f ca="1">IF(ISBLANK(ApplicationTracker[[#This Row],[Posted]]),"Unknown",TODAY()-ApplicationTracker[[#This Row],[Posted]])</f>
        <v>Unknown</v>
      </c>
      <c r="D46" s="9">
        <f ca="1">TODAY()-ApplicationTracker[[#This Row],[Date]]</f>
        <v>20</v>
      </c>
      <c r="E46" t="s">
        <v>26</v>
      </c>
      <c r="F46" t="s">
        <v>207</v>
      </c>
      <c r="G46" t="s">
        <v>208</v>
      </c>
      <c r="H46" t="s">
        <v>20</v>
      </c>
      <c r="I46" t="e" vm="3">
        <v>#VALUE!</v>
      </c>
      <c r="J46" t="s">
        <v>11</v>
      </c>
      <c r="K46" s="4">
        <v>60000</v>
      </c>
      <c r="L46" s="4">
        <v>70000</v>
      </c>
      <c r="M46" s="4">
        <f>ROUND(IF(ApplicationTracker[[#This Row],[Salaried]]="No",ApplicationTracker[[#This Row],[Low]],ApplicationTracker[[#This Row],[Low]]/Fulltime40Year),2)</f>
        <v>28.85</v>
      </c>
      <c r="N46" s="4">
        <f>ROUND(IF(ApplicationTracker[[#This Row],[Salaried]]="No",ApplicationTracker[[#This Row],[High]],ApplicationTracker[[#This Row],[High]]/Fulltime40Year),2)</f>
        <v>33.65</v>
      </c>
      <c r="O46" s="6" t="str">
        <f>_xlfn.TEXTJOIN(" ",FALSE,"$",TEXT(ApplicationTracker[[#This Row],[H-L]],"#,##0.00"),"-","$",TEXT(ApplicationTracker[[#This Row],[H-H]],"#,##0.00"))</f>
        <v>$ 28.85 - $ 33.65</v>
      </c>
      <c r="P46" s="4">
        <f>ROUND(IF(ApplicationTracker[[#This Row],[Salaried]]="No",ApplicationTracker[[#This Row],[Low]]*Fulltime40Month,ApplicationTracker[[#This Row],[Y-L]]/12),2)</f>
        <v>5000</v>
      </c>
      <c r="Q46" s="4" cm="1">
        <f t="array" ref="Q46">ROUND(IF(ApplicationTracker[[#This Row],[Salaried]]="No",ApplicationTracker[[#This Row],[High]]*Fulltime40Month,ApplicationTracker[[#This Row],[Y-H]]/12),2)</f>
        <v>5833.33</v>
      </c>
      <c r="R46" s="6" t="str">
        <f>_xlfn.TEXTJOIN(" ",FALSE,"$",TEXT(ApplicationTracker[[#This Row],[M-L]],"#,##0.00"),"-","$",TEXT(ApplicationTracker[[#This Row],[M-H]],"#,##0.00"))</f>
        <v>$ 5,000.00 - $ 5,833.33</v>
      </c>
      <c r="S46" s="5" cm="1">
        <f t="array" ref="S46">IF(ApplicationTracker[[#This Row],[Salaried]]="Yes",ApplicationTracker[[#This Row],[Low]],ApplicationTracker[[#This Row],[M-L]]*12)</f>
        <v>60000</v>
      </c>
      <c r="T46" s="5" cm="1">
        <f t="array" ref="T46">IF(ApplicationTracker[[#This Row],[Salaried]]="Yes",ApplicationTracker[[#This Row],[High]],ApplicationTracker[[#This Row],[M-H]]*12)</f>
        <v>70000</v>
      </c>
      <c r="U46" s="6" t="str">
        <f>_xlfn.TEXTJOIN(" ",FALSE,"$",TEXT(ApplicationTracker[[#This Row],[Y-L]],"#,##0.00"),"-","$",TEXT(ApplicationTracker[[#This Row],[Y-H]],"#,##0.00"))</f>
        <v>$ 60,000.00 - $ 70,000.00</v>
      </c>
      <c r="V46" s="6">
        <v>1</v>
      </c>
      <c r="W46">
        <v>8</v>
      </c>
      <c r="X46" s="1">
        <v>46025</v>
      </c>
      <c r="Y46" s="1" t="s">
        <v>30</v>
      </c>
      <c r="Z46" s="3" t="s">
        <v>209</v>
      </c>
      <c r="AA46" t="str">
        <f>_xlfn.TEXTJOIN("",FALSE,LEFT(ApplicationTracker[[#This Row],[Company]],2),DEC2HEX(ApplicationTracker[[#This Row],[Date]]),DEC2HEX(ApplicationTracker[[#This Row],[Updated]]),LEFT(ApplicationTracker[[#This Row],[Job Title]],2),ApplicationTracker[[#This Row],[Want]]*ApplicationTracker[[#This Row],[Likely]])</f>
        <v>XaB3C9B3C9IT8</v>
      </c>
    </row>
    <row r="47" spans="1:27" x14ac:dyDescent="0.4">
      <c r="A47" s="2">
        <v>46015</v>
      </c>
      <c r="B47" s="2"/>
      <c r="C47" s="9" t="str">
        <f ca="1">IF(ISBLANK(ApplicationTracker[[#This Row],[Posted]]),"Unknown",TODAY()-ApplicationTracker[[#This Row],[Posted]])</f>
        <v>Unknown</v>
      </c>
      <c r="D47" s="9">
        <f ca="1">TODAY()-ApplicationTracker[[#This Row],[Date]]</f>
        <v>30</v>
      </c>
      <c r="E47" t="s">
        <v>26</v>
      </c>
      <c r="F47" t="s">
        <v>126</v>
      </c>
      <c r="G47" t="s">
        <v>127</v>
      </c>
      <c r="H47" t="s">
        <v>18</v>
      </c>
      <c r="I47" t="e" vm="24">
        <v>#VALUE!</v>
      </c>
      <c r="J47" t="s">
        <v>11</v>
      </c>
      <c r="K47" s="4"/>
      <c r="L47" s="4"/>
      <c r="M47" s="4">
        <f>ROUND(IF(ApplicationTracker[[#This Row],[Salaried]]="No",ApplicationTracker[[#This Row],[Low]],ApplicationTracker[[#This Row],[Low]]/Fulltime40Year),2)</f>
        <v>0</v>
      </c>
      <c r="N47" s="4">
        <f>ROUND(IF(ApplicationTracker[[#This Row],[Salaried]]="No",ApplicationTracker[[#This Row],[High]],ApplicationTracker[[#This Row],[High]]/Fulltime40Year),2)</f>
        <v>0</v>
      </c>
      <c r="O47" s="6" t="str">
        <f>_xlfn.TEXTJOIN(" ",FALSE,"$",TEXT(ApplicationTracker[[#This Row],[H-L]],"#,##0.00"),"-","$",TEXT(ApplicationTracker[[#This Row],[H-H]],"#,##0.00"))</f>
        <v>$ 0.00 - $ 0.00</v>
      </c>
      <c r="P47" s="4">
        <f>ROUND(IF(ApplicationTracker[[#This Row],[Salaried]]="No",ApplicationTracker[[#This Row],[Low]]*Fulltime40Month,ApplicationTracker[[#This Row],[Y-L]]/12),2)</f>
        <v>0</v>
      </c>
      <c r="Q47" s="4" cm="1">
        <f t="array" ref="Q47">ROUND(IF(ApplicationTracker[[#This Row],[Salaried]]="No",ApplicationTracker[[#This Row],[High]]*Fulltime40Month,ApplicationTracker[[#This Row],[Y-H]]/12),2)</f>
        <v>0</v>
      </c>
      <c r="R47" s="6" t="str">
        <f>_xlfn.TEXTJOIN(" ",FALSE,"$",TEXT(ApplicationTracker[[#This Row],[M-L]],"#,##0.00"),"-","$",TEXT(ApplicationTracker[[#This Row],[M-H]],"#,##0.00"))</f>
        <v>$ 0.00 - $ 0.00</v>
      </c>
      <c r="S47" s="5" cm="1">
        <f t="array" ref="S47">IF(ApplicationTracker[[#This Row],[Salaried]]="Yes",ApplicationTracker[[#This Row],[Low]],ApplicationTracker[[#This Row],[M-L]]*12)</f>
        <v>0</v>
      </c>
      <c r="T47" s="5" cm="1">
        <f t="array" ref="T47">IF(ApplicationTracker[[#This Row],[Salaried]]="Yes",ApplicationTracker[[#This Row],[High]],ApplicationTracker[[#This Row],[M-H]]*12)</f>
        <v>0</v>
      </c>
      <c r="U47" s="6" t="str">
        <f>_xlfn.TEXTJOIN(" ",FALSE,"$",TEXT(ApplicationTracker[[#This Row],[Y-L]],"#,##0.00"),"-","$",TEXT(ApplicationTracker[[#This Row],[Y-H]],"#,##0.00"))</f>
        <v>$ 0.00 - $ 0.00</v>
      </c>
      <c r="V47" s="6">
        <v>0</v>
      </c>
      <c r="W47">
        <v>8</v>
      </c>
      <c r="X47" s="1">
        <v>46018</v>
      </c>
      <c r="Y47" s="1" t="s">
        <v>31</v>
      </c>
      <c r="Z47" s="3" t="s">
        <v>128</v>
      </c>
      <c r="AA47" t="str">
        <f>_xlfn.TEXTJOIN("",FALSE,LEFT(ApplicationTracker[[#This Row],[Company]],2),DEC2HEX(ApplicationTracker[[#This Row],[Date]]),DEC2HEX(ApplicationTracker[[#This Row],[Updated]]),LEFT(ApplicationTracker[[#This Row],[Job Title]],2),ApplicationTracker[[#This Row],[Want]]*ApplicationTracker[[#This Row],[Likely]])</f>
        <v>IdB3BFB3C2IT0</v>
      </c>
    </row>
    <row r="48" spans="1:27" x14ac:dyDescent="0.4">
      <c r="A48" s="2">
        <v>46014</v>
      </c>
      <c r="B48" s="2"/>
      <c r="C48" s="9" t="str">
        <f ca="1">IF(ISBLANK(ApplicationTracker[[#This Row],[Posted]]),"Unknown",TODAY()-ApplicationTracker[[#This Row],[Posted]])</f>
        <v>Unknown</v>
      </c>
      <c r="D48" s="9">
        <f ca="1">TODAY()-ApplicationTracker[[#This Row],[Date]]</f>
        <v>31</v>
      </c>
      <c r="E48" t="s">
        <v>26</v>
      </c>
      <c r="F48" t="s">
        <v>73</v>
      </c>
      <c r="G48" t="s">
        <v>84</v>
      </c>
      <c r="H48" t="s">
        <v>19</v>
      </c>
      <c r="I48" t="e" vm="8">
        <v>#VALUE!</v>
      </c>
      <c r="J48" t="s">
        <v>13</v>
      </c>
      <c r="K48" s="4">
        <v>25</v>
      </c>
      <c r="L48" s="4">
        <v>32</v>
      </c>
      <c r="M48" s="4">
        <f>ROUND(IF(ApplicationTracker[[#This Row],[Salaried]]="No",ApplicationTracker[[#This Row],[Low]],ApplicationTracker[[#This Row],[Low]]/Fulltime40Year),2)</f>
        <v>25</v>
      </c>
      <c r="N48" s="4">
        <f>ROUND(IF(ApplicationTracker[[#This Row],[Salaried]]="No",ApplicationTracker[[#This Row],[High]],ApplicationTracker[[#This Row],[High]]/Fulltime40Year),2)</f>
        <v>32</v>
      </c>
      <c r="O48" s="6" t="str">
        <f>_xlfn.TEXTJOIN(" ",FALSE,"$",TEXT(ApplicationTracker[[#This Row],[H-L]],"#,##0.00"),"-","$",TEXT(ApplicationTracker[[#This Row],[H-H]],"#,##0.00"))</f>
        <v>$ 25.00 - $ 32.00</v>
      </c>
      <c r="P48" s="4">
        <f>ROUND(IF(ApplicationTracker[[#This Row],[Salaried]]="No",ApplicationTracker[[#This Row],[Low]]*Fulltime40Month,ApplicationTracker[[#This Row],[Y-L]]/12),2)</f>
        <v>4000</v>
      </c>
      <c r="Q48" s="4" cm="1">
        <f t="array" ref="Q48">ROUND(IF(ApplicationTracker[[#This Row],[Salaried]]="No",ApplicationTracker[[#This Row],[High]]*Fulltime40Month,ApplicationTracker[[#This Row],[Y-H]]/12),2)</f>
        <v>5120</v>
      </c>
      <c r="R48" s="6" t="str">
        <f>_xlfn.TEXTJOIN(" ",FALSE,"$",TEXT(ApplicationTracker[[#This Row],[M-L]],"#,##0.00"),"-","$",TEXT(ApplicationTracker[[#This Row],[M-H]],"#,##0.00"))</f>
        <v>$ 4,000.00 - $ 5,120.00</v>
      </c>
      <c r="S48" s="5" cm="1">
        <f t="array" ref="S48">IF(ApplicationTracker[[#This Row],[Salaried]]="Yes",ApplicationTracker[[#This Row],[Low]],ApplicationTracker[[#This Row],[M-L]]*12)</f>
        <v>48000</v>
      </c>
      <c r="T48" s="5" cm="1">
        <f t="array" ref="T48">IF(ApplicationTracker[[#This Row],[Salaried]]="Yes",ApplicationTracker[[#This Row],[High]],ApplicationTracker[[#This Row],[M-H]]*12)</f>
        <v>61440</v>
      </c>
      <c r="U48" s="6" t="str">
        <f>_xlfn.TEXTJOIN(" ",FALSE,"$",TEXT(ApplicationTracker[[#This Row],[Y-L]],"#,##0.00"),"-","$",TEXT(ApplicationTracker[[#This Row],[Y-H]],"#,##0.00"))</f>
        <v>$ 48,000.00 - $ 61,440.00</v>
      </c>
      <c r="V48" s="6">
        <v>0</v>
      </c>
      <c r="W48">
        <v>8</v>
      </c>
      <c r="X48" s="1">
        <v>46017</v>
      </c>
      <c r="Y48" s="1" t="s">
        <v>31</v>
      </c>
      <c r="Z48" s="3" t="s">
        <v>85</v>
      </c>
      <c r="AA48" t="str">
        <f>_xlfn.TEXTJOIN("",FALSE,LEFT(ApplicationTracker[[#This Row],[Company]],2),DEC2HEX(ApplicationTracker[[#This Row],[Date]]),DEC2HEX(ApplicationTracker[[#This Row],[Updated]]),LEFT(ApplicationTracker[[#This Row],[Job Title]],2),ApplicationTracker[[#This Row],[Want]]*ApplicationTracker[[#This Row],[Likely]])</f>
        <v>InB3BEB3C1He0</v>
      </c>
    </row>
    <row r="49" spans="1:27" x14ac:dyDescent="0.4">
      <c r="A49" s="2">
        <v>45402</v>
      </c>
      <c r="B49" s="2"/>
      <c r="C49" s="9" t="str">
        <f ca="1">IF(ISBLANK(ApplicationTracker[[#This Row],[Posted]]),"Unknown",TODAY()-ApplicationTracker[[#This Row],[Posted]])</f>
        <v>Unknown</v>
      </c>
      <c r="D49" s="9">
        <f ca="1">TODAY()-ApplicationTracker[[#This Row],[Date]]</f>
        <v>643</v>
      </c>
      <c r="E49" t="s">
        <v>26</v>
      </c>
      <c r="F49" t="s">
        <v>170</v>
      </c>
      <c r="G49" t="s">
        <v>171</v>
      </c>
      <c r="H49" t="s">
        <v>18</v>
      </c>
      <c r="I49" t="e" vm="3">
        <v>#VALUE!</v>
      </c>
      <c r="J49" t="s">
        <v>11</v>
      </c>
      <c r="K49" s="4"/>
      <c r="L49" s="4"/>
      <c r="M49" s="4">
        <f>ROUND(IF(ApplicationTracker[[#This Row],[Salaried]]="No",ApplicationTracker[[#This Row],[Low]],ApplicationTracker[[#This Row],[Low]]/Fulltime40Year),2)</f>
        <v>0</v>
      </c>
      <c r="N49" s="4">
        <f>ROUND(IF(ApplicationTracker[[#This Row],[Salaried]]="No",ApplicationTracker[[#This Row],[High]],ApplicationTracker[[#This Row],[High]]/Fulltime40Year),2)</f>
        <v>0</v>
      </c>
      <c r="O49" s="6" t="str">
        <f>_xlfn.TEXTJOIN(" ",FALSE,"$",TEXT(ApplicationTracker[[#This Row],[H-L]],"#,##0.00"),"-","$",TEXT(ApplicationTracker[[#This Row],[H-H]],"#,##0.00"))</f>
        <v>$ 0.00 - $ 0.00</v>
      </c>
      <c r="P49" s="4">
        <f>ROUND(IF(ApplicationTracker[[#This Row],[Salaried]]="No",ApplicationTracker[[#This Row],[Low]]*Fulltime40Month,ApplicationTracker[[#This Row],[Y-L]]/12),2)</f>
        <v>0</v>
      </c>
      <c r="Q49" s="4" cm="1">
        <f t="array" ref="Q49">ROUND(IF(ApplicationTracker[[#This Row],[Salaried]]="No",ApplicationTracker[[#This Row],[High]]*Fulltime40Month,ApplicationTracker[[#This Row],[Y-H]]/12),2)</f>
        <v>0</v>
      </c>
      <c r="R49" s="6" t="str">
        <f>_xlfn.TEXTJOIN(" ",FALSE,"$",TEXT(ApplicationTracker[[#This Row],[M-L]],"#,##0.00"),"-","$",TEXT(ApplicationTracker[[#This Row],[M-H]],"#,##0.00"))</f>
        <v>$ 0.00 - $ 0.00</v>
      </c>
      <c r="S49" s="5" cm="1">
        <f t="array" ref="S49">IF(ApplicationTracker[[#This Row],[Salaried]]="Yes",ApplicationTracker[[#This Row],[Low]],ApplicationTracker[[#This Row],[M-L]]*12)</f>
        <v>0</v>
      </c>
      <c r="T49" s="5" cm="1">
        <f t="array" ref="T49">IF(ApplicationTracker[[#This Row],[Salaried]]="Yes",ApplicationTracker[[#This Row],[High]],ApplicationTracker[[#This Row],[M-H]]*12)</f>
        <v>0</v>
      </c>
      <c r="U49" s="6" t="str">
        <f>_xlfn.TEXTJOIN(" ",FALSE,"$",TEXT(ApplicationTracker[[#This Row],[Y-L]],"#,##0.00"),"-","$",TEXT(ApplicationTracker[[#This Row],[Y-H]],"#,##0.00"))</f>
        <v>$ 0.00 - $ 0.00</v>
      </c>
      <c r="V49" s="6">
        <v>0</v>
      </c>
      <c r="W49">
        <v>8</v>
      </c>
      <c r="X49" s="1">
        <v>46022</v>
      </c>
      <c r="Y49" s="1" t="s">
        <v>173</v>
      </c>
      <c r="AA49" t="str">
        <f>_xlfn.TEXTJOIN("",FALSE,LEFT(ApplicationTracker[[#This Row],[Company]],2),DEC2HEX(ApplicationTracker[[#This Row],[Date]]),DEC2HEX(ApplicationTracker[[#This Row],[Updated]]),LEFT(ApplicationTracker[[#This Row],[Job Title]],2),ApplicationTracker[[#This Row],[Want]]*ApplicationTracker[[#This Row],[Likely]])</f>
        <v>BuB15AB3C6Ne0</v>
      </c>
    </row>
    <row r="50" spans="1:27" x14ac:dyDescent="0.4">
      <c r="A50" s="2">
        <v>45992</v>
      </c>
      <c r="B50" s="2"/>
      <c r="C50" s="9" t="str">
        <f ca="1">IF(ISBLANK(ApplicationTracker[[#This Row],[Posted]]),"Unknown",TODAY()-ApplicationTracker[[#This Row],[Posted]])</f>
        <v>Unknown</v>
      </c>
      <c r="D50" s="9">
        <f ca="1">TODAY()-ApplicationTracker[[#This Row],[Date]]</f>
        <v>53</v>
      </c>
      <c r="E50" t="s">
        <v>26</v>
      </c>
      <c r="F50" t="s">
        <v>59</v>
      </c>
      <c r="G50" t="s">
        <v>60</v>
      </c>
      <c r="H50" t="s">
        <v>20</v>
      </c>
      <c r="I50" t="e" vm="25">
        <v>#VALUE!</v>
      </c>
      <c r="J50" t="s">
        <v>11</v>
      </c>
      <c r="K50" s="4">
        <v>100000</v>
      </c>
      <c r="L50" s="4">
        <v>150000</v>
      </c>
      <c r="M50" s="4">
        <f>ROUND(IF(ApplicationTracker[[#This Row],[Salaried]]="No",ApplicationTracker[[#This Row],[Low]],ApplicationTracker[[#This Row],[Low]]/Fulltime40Year),2)</f>
        <v>48.08</v>
      </c>
      <c r="N50" s="4">
        <f>ROUND(IF(ApplicationTracker[[#This Row],[Salaried]]="No",ApplicationTracker[[#This Row],[High]],ApplicationTracker[[#This Row],[High]]/Fulltime40Year),2)</f>
        <v>72.12</v>
      </c>
      <c r="O50" s="6" t="str">
        <f>_xlfn.TEXTJOIN(" ",FALSE,"$",TEXT(ApplicationTracker[[#This Row],[H-L]],"#,##0.00"),"-","$",TEXT(ApplicationTracker[[#This Row],[H-H]],"#,##0.00"))</f>
        <v>$ 48.08 - $ 72.12</v>
      </c>
      <c r="P50" s="4">
        <f>ROUND(IF(ApplicationTracker[[#This Row],[Salaried]]="No",ApplicationTracker[[#This Row],[Low]]*Fulltime40Month,ApplicationTracker[[#This Row],[Y-L]]/12),2)</f>
        <v>8333.33</v>
      </c>
      <c r="Q50" s="4" cm="1">
        <f t="array" ref="Q50">ROUND(IF(ApplicationTracker[[#This Row],[Salaried]]="No",ApplicationTracker[[#This Row],[High]]*Fulltime40Month,ApplicationTracker[[#This Row],[Y-H]]/12),2)</f>
        <v>12500</v>
      </c>
      <c r="R50" s="6" t="str">
        <f>_xlfn.TEXTJOIN(" ",FALSE,"$",TEXT(ApplicationTracker[[#This Row],[M-L]],"#,##0.00"),"-","$",TEXT(ApplicationTracker[[#This Row],[M-H]],"#,##0.00"))</f>
        <v>$ 8,333.33 - $ 12,500.00</v>
      </c>
      <c r="S50" s="5" cm="1">
        <f t="array" ref="S50">IF(ApplicationTracker[[#This Row],[Salaried]]="Yes",ApplicationTracker[[#This Row],[Low]],ApplicationTracker[[#This Row],[M-L]]*12)</f>
        <v>100000</v>
      </c>
      <c r="T50" s="5" cm="1">
        <f t="array" ref="T50">IF(ApplicationTracker[[#This Row],[Salaried]]="Yes",ApplicationTracker[[#This Row],[High]],ApplicationTracker[[#This Row],[M-H]]*12)</f>
        <v>150000</v>
      </c>
      <c r="U50" s="6" t="str">
        <f>_xlfn.TEXTJOIN(" ",FALSE,"$",TEXT(ApplicationTracker[[#This Row],[Y-L]],"#,##0.00"),"-","$",TEXT(ApplicationTracker[[#This Row],[Y-H]],"#,##0.00"))</f>
        <v>$ 100,000.00 - $ 150,000.00</v>
      </c>
      <c r="V50">
        <v>0</v>
      </c>
      <c r="W50">
        <v>7</v>
      </c>
      <c r="X50" s="1">
        <v>46017</v>
      </c>
      <c r="Y50" s="1" t="s">
        <v>31</v>
      </c>
      <c r="Z50" s="3" t="s">
        <v>61</v>
      </c>
      <c r="AA50" t="str">
        <f>_xlfn.TEXTJOIN("",FALSE,LEFT(ApplicationTracker[[#This Row],[Company]],2),DEC2HEX(ApplicationTracker[[#This Row],[Date]]),DEC2HEX(ApplicationTracker[[#This Row],[Updated]]),LEFT(ApplicationTracker[[#This Row],[Job Title]],2),ApplicationTracker[[#This Row],[Want]]*ApplicationTracker[[#This Row],[Likely]])</f>
        <v>AtB3A8B3C1He0</v>
      </c>
    </row>
    <row r="51" spans="1:27" x14ac:dyDescent="0.4">
      <c r="A51" s="2">
        <v>46014</v>
      </c>
      <c r="B51" s="2"/>
      <c r="C51" s="9" t="str">
        <f ca="1">IF(ISBLANK(ApplicationTracker[[#This Row],[Posted]]),"Unknown",TODAY()-ApplicationTracker[[#This Row],[Posted]])</f>
        <v>Unknown</v>
      </c>
      <c r="D51" s="9">
        <f ca="1">TODAY()-ApplicationTracker[[#This Row],[Date]]</f>
        <v>31</v>
      </c>
      <c r="E51" t="s">
        <v>26</v>
      </c>
      <c r="F51" t="s">
        <v>105</v>
      </c>
      <c r="G51" t="s">
        <v>106</v>
      </c>
      <c r="H51" t="s">
        <v>18</v>
      </c>
      <c r="I51" t="e" vm="26">
        <v>#VALUE!</v>
      </c>
      <c r="J51" t="s">
        <v>11</v>
      </c>
      <c r="K51" s="4">
        <v>45000</v>
      </c>
      <c r="L51" s="4">
        <v>60000</v>
      </c>
      <c r="M51" s="4">
        <f>ROUND(IF(ApplicationTracker[[#This Row],[Salaried]]="No",ApplicationTracker[[#This Row],[Low]],ApplicationTracker[[#This Row],[Low]]/Fulltime40Year),2)</f>
        <v>21.63</v>
      </c>
      <c r="N51" s="4">
        <f>ROUND(IF(ApplicationTracker[[#This Row],[Salaried]]="No",ApplicationTracker[[#This Row],[High]],ApplicationTracker[[#This Row],[High]]/Fulltime40Year),2)</f>
        <v>28.85</v>
      </c>
      <c r="O51" s="6" t="str">
        <f>_xlfn.TEXTJOIN(" ",FALSE,"$",TEXT(ApplicationTracker[[#This Row],[H-L]],"#,##0.00"),"-","$",TEXT(ApplicationTracker[[#This Row],[H-H]],"#,##0.00"))</f>
        <v>$ 21.63 - $ 28.85</v>
      </c>
      <c r="P51" s="4">
        <f>ROUND(IF(ApplicationTracker[[#This Row],[Salaried]]="No",ApplicationTracker[[#This Row],[Low]]*Fulltime40Month,ApplicationTracker[[#This Row],[Y-L]]/12),2)</f>
        <v>3750</v>
      </c>
      <c r="Q51" s="4" cm="1">
        <f t="array" ref="Q51">ROUND(IF(ApplicationTracker[[#This Row],[Salaried]]="No",ApplicationTracker[[#This Row],[High]]*Fulltime40Month,ApplicationTracker[[#This Row],[Y-H]]/12),2)</f>
        <v>5000</v>
      </c>
      <c r="R51" s="6" t="str">
        <f>_xlfn.TEXTJOIN(" ",FALSE,"$",TEXT(ApplicationTracker[[#This Row],[M-L]],"#,##0.00"),"-","$",TEXT(ApplicationTracker[[#This Row],[M-H]],"#,##0.00"))</f>
        <v>$ 3,750.00 - $ 5,000.00</v>
      </c>
      <c r="S51" s="5" cm="1">
        <f t="array" ref="S51">IF(ApplicationTracker[[#This Row],[Salaried]]="Yes",ApplicationTracker[[#This Row],[Low]],ApplicationTracker[[#This Row],[M-L]]*12)</f>
        <v>45000</v>
      </c>
      <c r="T51" s="5" cm="1">
        <f t="array" ref="T51">IF(ApplicationTracker[[#This Row],[Salaried]]="Yes",ApplicationTracker[[#This Row],[High]],ApplicationTracker[[#This Row],[M-H]]*12)</f>
        <v>60000</v>
      </c>
      <c r="U51" s="6" t="str">
        <f>_xlfn.TEXTJOIN(" ",FALSE,"$",TEXT(ApplicationTracker[[#This Row],[Y-L]],"#,##0.00"),"-","$",TEXT(ApplicationTracker[[#This Row],[Y-H]],"#,##0.00"))</f>
        <v>$ 45,000.00 - $ 60,000.00</v>
      </c>
      <c r="V51" s="6">
        <v>0</v>
      </c>
      <c r="W51">
        <v>6</v>
      </c>
      <c r="X51" s="1">
        <v>46017</v>
      </c>
      <c r="Y51" s="1" t="s">
        <v>31</v>
      </c>
      <c r="Z51" s="3" t="s">
        <v>107</v>
      </c>
      <c r="AA51" t="str">
        <f>_xlfn.TEXTJOIN("",FALSE,LEFT(ApplicationTracker[[#This Row],[Company]],2),DEC2HEX(ApplicationTracker[[#This Row],[Date]]),DEC2HEX(ApplicationTracker[[#This Row],[Updated]]),LEFT(ApplicationTracker[[#This Row],[Job Title]],2),ApplicationTracker[[#This Row],[Want]]*ApplicationTracker[[#This Row],[Likely]])</f>
        <v>TrB3BEB3C1He0</v>
      </c>
    </row>
    <row r="52" spans="1:27" x14ac:dyDescent="0.4">
      <c r="A52" s="2">
        <v>46008</v>
      </c>
      <c r="B52" s="2"/>
      <c r="C52" s="9" t="str">
        <f ca="1">IF(ISBLANK(ApplicationTracker[[#This Row],[Posted]]),"Unknown",TODAY()-ApplicationTracker[[#This Row],[Posted]])</f>
        <v>Unknown</v>
      </c>
      <c r="D52" s="9">
        <f ca="1">TODAY()-ApplicationTracker[[#This Row],[Date]]</f>
        <v>37</v>
      </c>
      <c r="E52" t="s">
        <v>26</v>
      </c>
      <c r="F52" t="s">
        <v>65</v>
      </c>
      <c r="G52" t="s">
        <v>66</v>
      </c>
      <c r="H52" t="s">
        <v>18</v>
      </c>
      <c r="I52" t="e" vm="3">
        <v>#VALUE!</v>
      </c>
      <c r="J52" t="s">
        <v>11</v>
      </c>
      <c r="K52" s="4">
        <v>60000</v>
      </c>
      <c r="L52" s="4">
        <v>65000</v>
      </c>
      <c r="M52" s="4">
        <f>ROUND(IF(ApplicationTracker[[#This Row],[Salaried]]="No",ApplicationTracker[[#This Row],[Low]],ApplicationTracker[[#This Row],[Low]]/Fulltime40Year),2)</f>
        <v>28.85</v>
      </c>
      <c r="N52" s="4">
        <f>ROUND(IF(ApplicationTracker[[#This Row],[Salaried]]="No",ApplicationTracker[[#This Row],[High]],ApplicationTracker[[#This Row],[High]]/Fulltime40Year),2)</f>
        <v>31.25</v>
      </c>
      <c r="O52" s="6" t="str">
        <f>_xlfn.TEXTJOIN(" ",FALSE,"$",TEXT(ApplicationTracker[[#This Row],[H-L]],"#,##0.00"),"-","$",TEXT(ApplicationTracker[[#This Row],[H-H]],"#,##0.00"))</f>
        <v>$ 28.85 - $ 31.25</v>
      </c>
      <c r="P52" s="4">
        <f>ROUND(IF(ApplicationTracker[[#This Row],[Salaried]]="No",ApplicationTracker[[#This Row],[Low]]*Fulltime40Month,ApplicationTracker[[#This Row],[Y-L]]/12),2)</f>
        <v>5000</v>
      </c>
      <c r="Q52" s="4" cm="1">
        <f t="array" ref="Q52">ROUND(IF(ApplicationTracker[[#This Row],[Salaried]]="No",ApplicationTracker[[#This Row],[High]]*Fulltime40Month,ApplicationTracker[[#This Row],[Y-H]]/12),2)</f>
        <v>5416.67</v>
      </c>
      <c r="R52" s="6" t="str">
        <f>_xlfn.TEXTJOIN(" ",FALSE,"$",TEXT(ApplicationTracker[[#This Row],[M-L]],"#,##0.00"),"-","$",TEXT(ApplicationTracker[[#This Row],[M-H]],"#,##0.00"))</f>
        <v>$ 5,000.00 - $ 5,416.67</v>
      </c>
      <c r="S52" s="5" cm="1">
        <f t="array" ref="S52">IF(ApplicationTracker[[#This Row],[Salaried]]="Yes",ApplicationTracker[[#This Row],[Low]],ApplicationTracker[[#This Row],[M-L]]*12)</f>
        <v>60000</v>
      </c>
      <c r="T52" s="5" cm="1">
        <f t="array" ref="T52">IF(ApplicationTracker[[#This Row],[Salaried]]="Yes",ApplicationTracker[[#This Row],[High]],ApplicationTracker[[#This Row],[M-H]]*12)</f>
        <v>65000</v>
      </c>
      <c r="U52" s="6" t="str">
        <f>_xlfn.TEXTJOIN(" ",FALSE,"$",TEXT(ApplicationTracker[[#This Row],[Y-L]],"#,##0.00"),"-","$",TEXT(ApplicationTracker[[#This Row],[Y-H]],"#,##0.00"))</f>
        <v>$ 60,000.00 - $ 65,000.00</v>
      </c>
      <c r="V52">
        <v>0</v>
      </c>
      <c r="W52">
        <v>6</v>
      </c>
      <c r="X52" s="1">
        <v>46017</v>
      </c>
      <c r="Y52" s="1" t="s">
        <v>31</v>
      </c>
      <c r="Z52" s="3" t="s">
        <v>67</v>
      </c>
      <c r="AA52" t="str">
        <f>_xlfn.TEXTJOIN("",FALSE,LEFT(ApplicationTracker[[#This Row],[Company]],2),DEC2HEX(ApplicationTracker[[#This Row],[Date]]),DEC2HEX(ApplicationTracker[[#This Row],[Updated]]),LEFT(ApplicationTracker[[#This Row],[Job Title]],2),ApplicationTracker[[#This Row],[Want]]*ApplicationTracker[[#This Row],[Likely]])</f>
        <v>CaB3B8B3C1IT0</v>
      </c>
    </row>
    <row r="53" spans="1:27" x14ac:dyDescent="0.4">
      <c r="A53" s="2">
        <v>45992</v>
      </c>
      <c r="B53" s="2"/>
      <c r="C53" s="9" t="str">
        <f ca="1">IF(ISBLANK(ApplicationTracker[[#This Row],[Posted]]),"Unknown",TODAY()-ApplicationTracker[[#This Row],[Posted]])</f>
        <v>Unknown</v>
      </c>
      <c r="D53" s="9">
        <f ca="1">TODAY()-ApplicationTracker[[#This Row],[Date]]</f>
        <v>53</v>
      </c>
      <c r="E53" t="s">
        <v>26</v>
      </c>
      <c r="F53" t="s">
        <v>177</v>
      </c>
      <c r="G53" t="s">
        <v>63</v>
      </c>
      <c r="H53" t="s">
        <v>20</v>
      </c>
      <c r="I53" t="e" vm="3">
        <v>#VALUE!</v>
      </c>
      <c r="J53" t="s">
        <v>11</v>
      </c>
      <c r="K53" s="4"/>
      <c r="L53" s="4"/>
      <c r="M53" s="4">
        <f>ROUND(IF(ApplicationTracker[[#This Row],[Salaried]]="No",ApplicationTracker[[#This Row],[Low]],ApplicationTracker[[#This Row],[Low]]/Fulltime40Year),2)</f>
        <v>0</v>
      </c>
      <c r="N53" s="4">
        <f>ROUND(IF(ApplicationTracker[[#This Row],[Salaried]]="No",ApplicationTracker[[#This Row],[High]],ApplicationTracker[[#This Row],[High]]/Fulltime40Year),2)</f>
        <v>0</v>
      </c>
      <c r="O53" s="6" t="str">
        <f>_xlfn.TEXTJOIN(" ",FALSE,"$",TEXT(ApplicationTracker[[#This Row],[H-L]],"#,##0.00"),"-","$",TEXT(ApplicationTracker[[#This Row],[H-H]],"#,##0.00"))</f>
        <v>$ 0.00 - $ 0.00</v>
      </c>
      <c r="P53" s="4">
        <f>ROUND(IF(ApplicationTracker[[#This Row],[Salaried]]="No",ApplicationTracker[[#This Row],[Low]]*Fulltime40Month,ApplicationTracker[[#This Row],[Y-L]]/12),2)</f>
        <v>0</v>
      </c>
      <c r="Q53" s="4" cm="1">
        <f t="array" ref="Q53">ROUND(IF(ApplicationTracker[[#This Row],[Salaried]]="No",ApplicationTracker[[#This Row],[High]]*Fulltime40Month,ApplicationTracker[[#This Row],[Y-H]]/12),2)</f>
        <v>0</v>
      </c>
      <c r="R53" s="6" t="str">
        <f>_xlfn.TEXTJOIN(" ",FALSE,"$",TEXT(ApplicationTracker[[#This Row],[M-L]],"#,##0.00"),"-","$",TEXT(ApplicationTracker[[#This Row],[M-H]],"#,##0.00"))</f>
        <v>$ 0.00 - $ 0.00</v>
      </c>
      <c r="S53" s="5" cm="1">
        <f t="array" ref="S53">IF(ApplicationTracker[[#This Row],[Salaried]]="Yes",ApplicationTracker[[#This Row],[Low]],ApplicationTracker[[#This Row],[M-L]]*12)</f>
        <v>0</v>
      </c>
      <c r="T53" s="5" cm="1">
        <f t="array" ref="T53">IF(ApplicationTracker[[#This Row],[Salaried]]="Yes",ApplicationTracker[[#This Row],[High]],ApplicationTracker[[#This Row],[M-H]]*12)</f>
        <v>0</v>
      </c>
      <c r="U53" s="6" t="str">
        <f>_xlfn.TEXTJOIN(" ",FALSE,"$",TEXT(ApplicationTracker[[#This Row],[Y-L]],"#,##0.00"),"-","$",TEXT(ApplicationTracker[[#This Row],[Y-H]],"#,##0.00"))</f>
        <v>$ 0.00 - $ 0.00</v>
      </c>
      <c r="V53">
        <v>0</v>
      </c>
      <c r="W53">
        <v>5</v>
      </c>
      <c r="X53" s="1">
        <v>46017</v>
      </c>
      <c r="Y53" s="1" t="s">
        <v>31</v>
      </c>
      <c r="Z53" s="3" t="s">
        <v>64</v>
      </c>
      <c r="AA53" t="str">
        <f>_xlfn.TEXTJOIN("",FALSE,LEFT(ApplicationTracker[[#This Row],[Company]],2),DEC2HEX(ApplicationTracker[[#This Row],[Date]]),DEC2HEX(ApplicationTracker[[#This Row],[Updated]]),LEFT(ApplicationTracker[[#This Row],[Job Title]],2),ApplicationTracker[[#This Row],[Want]]*ApplicationTracker[[#This Row],[Likely]])</f>
        <v>IZB3A8B3C1NY0</v>
      </c>
    </row>
    <row r="54" spans="1:27" x14ac:dyDescent="0.4">
      <c r="A54" s="2">
        <v>46014</v>
      </c>
      <c r="B54" s="2"/>
      <c r="C54" s="9" t="str">
        <f ca="1">IF(ISBLANK(ApplicationTracker[[#This Row],[Posted]]),"Unknown",TODAY()-ApplicationTracker[[#This Row],[Posted]])</f>
        <v>Unknown</v>
      </c>
      <c r="D54" s="9">
        <f ca="1">TODAY()-ApplicationTracker[[#This Row],[Date]]</f>
        <v>31</v>
      </c>
      <c r="E54" t="s">
        <v>26</v>
      </c>
      <c r="F54" t="s">
        <v>86</v>
      </c>
      <c r="G54" t="s">
        <v>87</v>
      </c>
      <c r="H54" t="s">
        <v>18</v>
      </c>
      <c r="I54" t="e" vm="27">
        <v>#VALUE!</v>
      </c>
      <c r="J54" t="s">
        <v>11</v>
      </c>
      <c r="K54" s="4">
        <v>85000</v>
      </c>
      <c r="L54" s="4">
        <v>85000</v>
      </c>
      <c r="M54" s="4">
        <f>ROUND(IF(ApplicationTracker[[#This Row],[Salaried]]="No",ApplicationTracker[[#This Row],[Low]],ApplicationTracker[[#This Row],[Low]]/Fulltime40Year),2)</f>
        <v>40.869999999999997</v>
      </c>
      <c r="N54" s="4">
        <f>ROUND(IF(ApplicationTracker[[#This Row],[Salaried]]="No",ApplicationTracker[[#This Row],[High]],ApplicationTracker[[#This Row],[High]]/Fulltime40Year),2)</f>
        <v>40.869999999999997</v>
      </c>
      <c r="O54" s="6" t="str">
        <f>_xlfn.TEXTJOIN(" ",FALSE,"$",TEXT(ApplicationTracker[[#This Row],[H-L]],"#,##0.00"),"-","$",TEXT(ApplicationTracker[[#This Row],[H-H]],"#,##0.00"))</f>
        <v>$ 40.87 - $ 40.87</v>
      </c>
      <c r="P54" s="4">
        <f>ROUND(IF(ApplicationTracker[[#This Row],[Salaried]]="No",ApplicationTracker[[#This Row],[Low]]*Fulltime40Month,ApplicationTracker[[#This Row],[Y-L]]/12),2)</f>
        <v>7083.33</v>
      </c>
      <c r="Q54" s="4" cm="1">
        <f t="array" ref="Q54">ROUND(IF(ApplicationTracker[[#This Row],[Salaried]]="No",ApplicationTracker[[#This Row],[High]]*Fulltime40Month,ApplicationTracker[[#This Row],[Y-H]]/12),2)</f>
        <v>7083.33</v>
      </c>
      <c r="R54" s="6" t="str">
        <f>_xlfn.TEXTJOIN(" ",FALSE,"$",TEXT(ApplicationTracker[[#This Row],[M-L]],"#,##0.00"),"-","$",TEXT(ApplicationTracker[[#This Row],[M-H]],"#,##0.00"))</f>
        <v>$ 7,083.33 - $ 7,083.33</v>
      </c>
      <c r="S54" s="5" cm="1">
        <f t="array" ref="S54">IF(ApplicationTracker[[#This Row],[Salaried]]="Yes",ApplicationTracker[[#This Row],[Low]],ApplicationTracker[[#This Row],[M-L]]*12)</f>
        <v>85000</v>
      </c>
      <c r="T54" s="5" cm="1">
        <f t="array" ref="T54">IF(ApplicationTracker[[#This Row],[Salaried]]="Yes",ApplicationTracker[[#This Row],[High]],ApplicationTracker[[#This Row],[M-H]]*12)</f>
        <v>85000</v>
      </c>
      <c r="U54" s="6" t="str">
        <f>_xlfn.TEXTJOIN(" ",FALSE,"$",TEXT(ApplicationTracker[[#This Row],[Y-L]],"#,##0.00"),"-","$",TEXT(ApplicationTracker[[#This Row],[Y-H]],"#,##0.00"))</f>
        <v>$ 85,000.00 - $ 85,000.00</v>
      </c>
      <c r="V54" s="6">
        <v>1</v>
      </c>
      <c r="W54">
        <v>3</v>
      </c>
      <c r="X54" s="1">
        <v>46017</v>
      </c>
      <c r="Y54" s="1" t="s">
        <v>31</v>
      </c>
      <c r="Z54" s="3" t="s">
        <v>88</v>
      </c>
      <c r="AA54" t="str">
        <f>_xlfn.TEXTJOIN("",FALSE,LEFT(ApplicationTracker[[#This Row],[Company]],2),DEC2HEX(ApplicationTracker[[#This Row],[Date]]),DEC2HEX(ApplicationTracker[[#This Row],[Updated]]),LEFT(ApplicationTracker[[#This Row],[Job Title]],2),ApplicationTracker[[#This Row],[Want]]*ApplicationTracker[[#This Row],[Likely]])</f>
        <v>TuB3BEB3C1IT3</v>
      </c>
    </row>
    <row r="55" spans="1:27" x14ac:dyDescent="0.4">
      <c r="A55" s="2">
        <v>45648</v>
      </c>
      <c r="B55" s="2"/>
      <c r="C55" s="9" t="str">
        <f ca="1">IF(ISBLANK(ApplicationTracker[[#This Row],[Posted]]),"Unknown",TODAY()-ApplicationTracker[[#This Row],[Posted]])</f>
        <v>Unknown</v>
      </c>
      <c r="D55" s="9">
        <f ca="1">TODAY()-ApplicationTracker[[#This Row],[Date]]</f>
        <v>397</v>
      </c>
      <c r="E55" t="s">
        <v>26</v>
      </c>
      <c r="F55" t="s">
        <v>201</v>
      </c>
      <c r="G55" t="s">
        <v>203</v>
      </c>
      <c r="H55" t="s">
        <v>18</v>
      </c>
      <c r="I55" t="e" vm="8">
        <v>#VALUE!</v>
      </c>
      <c r="J55" t="s">
        <v>11</v>
      </c>
      <c r="K55" s="4"/>
      <c r="L55" s="4"/>
      <c r="M55" s="4">
        <f>ROUND(IF(ApplicationTracker[[#This Row],[Salaried]]="No",ApplicationTracker[[#This Row],[Low]],ApplicationTracker[[#This Row],[Low]]/Fulltime40Year),2)</f>
        <v>0</v>
      </c>
      <c r="N55" s="4">
        <f>ROUND(IF(ApplicationTracker[[#This Row],[Salaried]]="No",ApplicationTracker[[#This Row],[High]],ApplicationTracker[[#This Row],[High]]/Fulltime40Year),2)</f>
        <v>0</v>
      </c>
      <c r="O55" s="6" t="str">
        <f>_xlfn.TEXTJOIN(" ",FALSE,"$",TEXT(ApplicationTracker[[#This Row],[H-L]],"#,##0.00"),"-","$",TEXT(ApplicationTracker[[#This Row],[H-H]],"#,##0.00"))</f>
        <v>$ 0.00 - $ 0.00</v>
      </c>
      <c r="P55" s="4">
        <f>ROUND(IF(ApplicationTracker[[#This Row],[Salaried]]="No",ApplicationTracker[[#This Row],[Low]]*Fulltime40Month,ApplicationTracker[[#This Row],[Y-L]]/12),2)</f>
        <v>0</v>
      </c>
      <c r="Q55" s="4" cm="1">
        <f t="array" ref="Q55">ROUND(IF(ApplicationTracker[[#This Row],[Salaried]]="No",ApplicationTracker[[#This Row],[High]]*Fulltime40Month,ApplicationTracker[[#This Row],[Y-H]]/12),2)</f>
        <v>0</v>
      </c>
      <c r="R55" s="6" t="str">
        <f>_xlfn.TEXTJOIN(" ",FALSE,"$",TEXT(ApplicationTracker[[#This Row],[M-L]],"#,##0.00"),"-","$",TEXT(ApplicationTracker[[#This Row],[M-H]],"#,##0.00"))</f>
        <v>$ 0.00 - $ 0.00</v>
      </c>
      <c r="S55" s="5" cm="1">
        <f t="array" ref="S55">IF(ApplicationTracker[[#This Row],[Salaried]]="Yes",ApplicationTracker[[#This Row],[Low]],ApplicationTracker[[#This Row],[M-L]]*12)</f>
        <v>0</v>
      </c>
      <c r="T55" s="5" cm="1">
        <f t="array" ref="T55">IF(ApplicationTracker[[#This Row],[Salaried]]="Yes",ApplicationTracker[[#This Row],[High]],ApplicationTracker[[#This Row],[M-H]]*12)</f>
        <v>0</v>
      </c>
      <c r="U55" s="6" t="str">
        <f>_xlfn.TEXTJOIN(" ",FALSE,"$",TEXT(ApplicationTracker[[#This Row],[Y-L]],"#,##0.00"),"-","$",TEXT(ApplicationTracker[[#This Row],[Y-H]],"#,##0.00"))</f>
        <v>$ 0.00 - $ 0.00</v>
      </c>
      <c r="V55" s="6">
        <v>0</v>
      </c>
      <c r="W55">
        <v>3</v>
      </c>
      <c r="X55" s="1">
        <v>46024</v>
      </c>
      <c r="Y55" s="1" t="s">
        <v>29</v>
      </c>
      <c r="AA55" t="str">
        <f>_xlfn.TEXTJOIN("",FALSE,LEFT(ApplicationTracker[[#This Row],[Company]],2),DEC2HEX(ApplicationTracker[[#This Row],[Date]]),DEC2HEX(ApplicationTracker[[#This Row],[Updated]]),LEFT(ApplicationTracker[[#This Row],[Job Title]],2),ApplicationTracker[[#This Row],[Want]]*ApplicationTracker[[#This Row],[Likely]])</f>
        <v>NaB250B3C8Cl0</v>
      </c>
    </row>
    <row r="56" spans="1:27" x14ac:dyDescent="0.4">
      <c r="A56" s="2">
        <v>45648</v>
      </c>
      <c r="B56" s="2"/>
      <c r="C56" s="9" t="str">
        <f ca="1">IF(ISBLANK(ApplicationTracker[[#This Row],[Posted]]),"Unknown",TODAY()-ApplicationTracker[[#This Row],[Posted]])</f>
        <v>Unknown</v>
      </c>
      <c r="D56" s="9">
        <f ca="1">TODAY()-ApplicationTracker[[#This Row],[Date]]</f>
        <v>397</v>
      </c>
      <c r="E56" t="s">
        <v>26</v>
      </c>
      <c r="F56" t="s">
        <v>201</v>
      </c>
      <c r="G56" t="s">
        <v>202</v>
      </c>
      <c r="H56" t="s">
        <v>18</v>
      </c>
      <c r="I56" t="e" vm="8">
        <v>#VALUE!</v>
      </c>
      <c r="J56" t="s">
        <v>11</v>
      </c>
      <c r="K56" s="4"/>
      <c r="L56" s="4"/>
      <c r="M56" s="4">
        <f>ROUND(IF(ApplicationTracker[[#This Row],[Salaried]]="No",ApplicationTracker[[#This Row],[Low]],ApplicationTracker[[#This Row],[Low]]/Fulltime40Year),2)</f>
        <v>0</v>
      </c>
      <c r="N56" s="4">
        <f>ROUND(IF(ApplicationTracker[[#This Row],[Salaried]]="No",ApplicationTracker[[#This Row],[High]],ApplicationTracker[[#This Row],[High]]/Fulltime40Year),2)</f>
        <v>0</v>
      </c>
      <c r="O56" s="6" t="str">
        <f>_xlfn.TEXTJOIN(" ",FALSE,"$",TEXT(ApplicationTracker[[#This Row],[H-L]],"#,##0.00"),"-","$",TEXT(ApplicationTracker[[#This Row],[H-H]],"#,##0.00"))</f>
        <v>$ 0.00 - $ 0.00</v>
      </c>
      <c r="P56" s="4">
        <f>ROUND(IF(ApplicationTracker[[#This Row],[Salaried]]="No",ApplicationTracker[[#This Row],[Low]]*Fulltime40Month,ApplicationTracker[[#This Row],[Y-L]]/12),2)</f>
        <v>0</v>
      </c>
      <c r="Q56" s="4" cm="1">
        <f t="array" ref="Q56">ROUND(IF(ApplicationTracker[[#This Row],[Salaried]]="No",ApplicationTracker[[#This Row],[High]]*Fulltime40Month,ApplicationTracker[[#This Row],[Y-H]]/12),2)</f>
        <v>0</v>
      </c>
      <c r="R56" s="6" t="str">
        <f>_xlfn.TEXTJOIN(" ",FALSE,"$",TEXT(ApplicationTracker[[#This Row],[M-L]],"#,##0.00"),"-","$",TEXT(ApplicationTracker[[#This Row],[M-H]],"#,##0.00"))</f>
        <v>$ 0.00 - $ 0.00</v>
      </c>
      <c r="S56" s="5" cm="1">
        <f t="array" ref="S56">IF(ApplicationTracker[[#This Row],[Salaried]]="Yes",ApplicationTracker[[#This Row],[Low]],ApplicationTracker[[#This Row],[M-L]]*12)</f>
        <v>0</v>
      </c>
      <c r="T56" s="5" cm="1">
        <f t="array" ref="T56">IF(ApplicationTracker[[#This Row],[Salaried]]="Yes",ApplicationTracker[[#This Row],[High]],ApplicationTracker[[#This Row],[M-H]]*12)</f>
        <v>0</v>
      </c>
      <c r="U56" s="6" t="str">
        <f>_xlfn.TEXTJOIN(" ",FALSE,"$",TEXT(ApplicationTracker[[#This Row],[Y-L]],"#,##0.00"),"-","$",TEXT(ApplicationTracker[[#This Row],[Y-H]],"#,##0.00"))</f>
        <v>$ 0.00 - $ 0.00</v>
      </c>
      <c r="V56" s="6">
        <v>0</v>
      </c>
      <c r="W56">
        <v>2</v>
      </c>
      <c r="X56" s="1">
        <v>46024</v>
      </c>
      <c r="Y56" s="1" t="s">
        <v>29</v>
      </c>
      <c r="AA56" t="str">
        <f>_xlfn.TEXTJOIN("",FALSE,LEFT(ApplicationTracker[[#This Row],[Company]],2),DEC2HEX(ApplicationTracker[[#This Row],[Date]]),DEC2HEX(ApplicationTracker[[#This Row],[Updated]]),LEFT(ApplicationTracker[[#This Row],[Job Title]],2),ApplicationTracker[[#This Row],[Want]]*ApplicationTracker[[#This Row],[Likely]])</f>
        <v>AWB250B3C8Cl0</v>
      </c>
    </row>
    <row r="57" spans="1:27" x14ac:dyDescent="0.4">
      <c r="A57" s="2">
        <v>46033</v>
      </c>
      <c r="B57" s="2">
        <v>46031</v>
      </c>
      <c r="C57" s="9">
        <f ca="1">IF(ISBLANK(ApplicationTracker[[#This Row],[Posted]]),"Unknown",TODAY()-ApplicationTracker[[#This Row],[Posted]])</f>
        <v>14</v>
      </c>
      <c r="D57" s="9">
        <f ca="1">TODAY()-ApplicationTracker[[#This Row],[Date]]</f>
        <v>12</v>
      </c>
      <c r="E57" t="s">
        <v>216</v>
      </c>
      <c r="F57" t="s">
        <v>222</v>
      </c>
      <c r="G57" t="s">
        <v>223</v>
      </c>
      <c r="H57" t="s">
        <v>18</v>
      </c>
      <c r="I57" t="e" vm="3">
        <v>#VALUE!</v>
      </c>
      <c r="J57" t="s">
        <v>11</v>
      </c>
      <c r="K57" s="4">
        <v>45000</v>
      </c>
      <c r="L57" s="4">
        <v>60000</v>
      </c>
      <c r="M57" s="4">
        <f>ROUND(IF(ApplicationTracker[[#This Row],[Salaried]]="No",ApplicationTracker[[#This Row],[Low]],ApplicationTracker[[#This Row],[Low]]/Fulltime40Year),2)</f>
        <v>21.63</v>
      </c>
      <c r="N57" s="4">
        <f>ROUND(IF(ApplicationTracker[[#This Row],[Salaried]]="No",ApplicationTracker[[#This Row],[High]],ApplicationTracker[[#This Row],[High]]/Fulltime40Year),2)</f>
        <v>28.85</v>
      </c>
      <c r="O57" s="6" t="str">
        <f>_xlfn.TEXTJOIN(" ",FALSE,"$",TEXT(ApplicationTracker[[#This Row],[H-L]],"#,##0.00"),"-","$",TEXT(ApplicationTracker[[#This Row],[H-H]],"#,##0.00"))</f>
        <v>$ 21.63 - $ 28.85</v>
      </c>
      <c r="P57" s="4">
        <f>ROUND(IF(ApplicationTracker[[#This Row],[Salaried]]="No",ApplicationTracker[[#This Row],[Low]]*Fulltime40Month,ApplicationTracker[[#This Row],[Y-L]]/12),2)</f>
        <v>3750</v>
      </c>
      <c r="Q57" s="4" cm="1">
        <f t="array" ref="Q57">ROUND(IF(ApplicationTracker[[#This Row],[Salaried]]="No",ApplicationTracker[[#This Row],[High]]*Fulltime40Month,ApplicationTracker[[#This Row],[Y-H]]/12),2)</f>
        <v>5000</v>
      </c>
      <c r="R57" s="6" t="str">
        <f>_xlfn.TEXTJOIN(" ",FALSE,"$",TEXT(ApplicationTracker[[#This Row],[M-L]],"#,##0.00"),"-","$",TEXT(ApplicationTracker[[#This Row],[M-H]],"#,##0.00"))</f>
        <v>$ 3,750.00 - $ 5,000.00</v>
      </c>
      <c r="S57" s="5" cm="1">
        <f t="array" ref="S57">IF(ApplicationTracker[[#This Row],[Salaried]]="Yes",ApplicationTracker[[#This Row],[Low]],ApplicationTracker[[#This Row],[M-L]]*12)</f>
        <v>45000</v>
      </c>
      <c r="T57" s="5" cm="1">
        <f t="array" ref="T57">IF(ApplicationTracker[[#This Row],[Salaried]]="Yes",ApplicationTracker[[#This Row],[High]],ApplicationTracker[[#This Row],[M-H]]*12)</f>
        <v>60000</v>
      </c>
      <c r="U57" s="6" t="str">
        <f>_xlfn.TEXTJOIN(" ",FALSE,"$",TEXT(ApplicationTracker[[#This Row],[Y-L]],"#,##0.00"),"-","$",TEXT(ApplicationTracker[[#This Row],[Y-H]],"#,##0.00"))</f>
        <v>$ 45,000.00 - $ 60,000.00</v>
      </c>
      <c r="V57" s="6">
        <v>6</v>
      </c>
      <c r="W57">
        <v>8</v>
      </c>
      <c r="X57" s="1">
        <v>46035</v>
      </c>
      <c r="Y57" s="1" t="s">
        <v>225</v>
      </c>
      <c r="Z57" s="3" t="s">
        <v>224</v>
      </c>
      <c r="AA57" t="str">
        <f>_xlfn.TEXTJOIN("",FALSE,LEFT(ApplicationTracker[[#This Row],[Company]],2),DEC2HEX(ApplicationTracker[[#This Row],[Date]]),DEC2HEX(ApplicationTracker[[#This Row],[Updated]]),LEFT(ApplicationTracker[[#This Row],[Job Title]],2),ApplicationTracker[[#This Row],[Want]]*ApplicationTracker[[#This Row],[Likely]])</f>
        <v>TrB3D1B3D3IT48</v>
      </c>
    </row>
    <row r="58" spans="1:27" x14ac:dyDescent="0.4">
      <c r="A58" s="2">
        <v>46033</v>
      </c>
      <c r="B58" s="2">
        <v>46031</v>
      </c>
      <c r="C58" s="9">
        <f ca="1">IF(ISBLANK(ApplicationTracker[[#This Row],[Posted]]),"Unknown",TODAY()-ApplicationTracker[[#This Row],[Posted]])</f>
        <v>14</v>
      </c>
      <c r="D58" s="9">
        <f ca="1">TODAY()-ApplicationTracker[[#This Row],[Date]]</f>
        <v>12</v>
      </c>
      <c r="E58" t="s">
        <v>216</v>
      </c>
      <c r="F58" t="s">
        <v>226</v>
      </c>
      <c r="G58" t="s">
        <v>227</v>
      </c>
      <c r="H58" t="s">
        <v>18</v>
      </c>
      <c r="I58" t="e" vm="28">
        <v>#VALUE!</v>
      </c>
      <c r="J58" t="s">
        <v>11</v>
      </c>
      <c r="K58" s="4">
        <v>50000</v>
      </c>
      <c r="L58" s="4">
        <v>55000</v>
      </c>
      <c r="M58" s="4">
        <f>ROUND(IF(ApplicationTracker[[#This Row],[Salaried]]="No",ApplicationTracker[[#This Row],[Low]],ApplicationTracker[[#This Row],[Low]]/Fulltime40Year),2)</f>
        <v>24.04</v>
      </c>
      <c r="N58" s="4">
        <f>ROUND(IF(ApplicationTracker[[#This Row],[Salaried]]="No",ApplicationTracker[[#This Row],[High]],ApplicationTracker[[#This Row],[High]]/Fulltime40Year),2)</f>
        <v>26.44</v>
      </c>
      <c r="O58" s="6" t="str">
        <f>_xlfn.TEXTJOIN(" ",FALSE,"$",TEXT(ApplicationTracker[[#This Row],[H-L]],"#,##0.00"),"-","$",TEXT(ApplicationTracker[[#This Row],[H-H]],"#,##0.00"))</f>
        <v>$ 24.04 - $ 26.44</v>
      </c>
      <c r="P58" s="4">
        <f>ROUND(IF(ApplicationTracker[[#This Row],[Salaried]]="No",ApplicationTracker[[#This Row],[Low]]*Fulltime40Month,ApplicationTracker[[#This Row],[Y-L]]/12),2)</f>
        <v>4166.67</v>
      </c>
      <c r="Q58" s="4" cm="1">
        <f t="array" ref="Q58">ROUND(IF(ApplicationTracker[[#This Row],[Salaried]]="No",ApplicationTracker[[#This Row],[High]]*Fulltime40Month,ApplicationTracker[[#This Row],[Y-H]]/12),2)</f>
        <v>4583.33</v>
      </c>
      <c r="R58" s="6" t="str">
        <f>_xlfn.TEXTJOIN(" ",FALSE,"$",TEXT(ApplicationTracker[[#This Row],[M-L]],"#,##0.00"),"-","$",TEXT(ApplicationTracker[[#This Row],[M-H]],"#,##0.00"))</f>
        <v>$ 4,166.67 - $ 4,583.33</v>
      </c>
      <c r="S58" s="5" cm="1">
        <f t="array" ref="S58">IF(ApplicationTracker[[#This Row],[Salaried]]="Yes",ApplicationTracker[[#This Row],[Low]],ApplicationTracker[[#This Row],[M-L]]*12)</f>
        <v>50000</v>
      </c>
      <c r="T58" s="5" cm="1">
        <f t="array" ref="T58">IF(ApplicationTracker[[#This Row],[Salaried]]="Yes",ApplicationTracker[[#This Row],[High]],ApplicationTracker[[#This Row],[M-H]]*12)</f>
        <v>55000</v>
      </c>
      <c r="U58" s="6" t="str">
        <f>_xlfn.TEXTJOIN(" ",FALSE,"$",TEXT(ApplicationTracker[[#This Row],[Y-L]],"#,##0.00"),"-","$",TEXT(ApplicationTracker[[#This Row],[Y-H]],"#,##0.00"))</f>
        <v>$ 50,000.00 - $ 55,000.00</v>
      </c>
      <c r="V58" s="6">
        <v>6</v>
      </c>
      <c r="W58">
        <v>8</v>
      </c>
      <c r="X58" s="1">
        <v>46035</v>
      </c>
      <c r="Y58" s="1" t="s">
        <v>225</v>
      </c>
      <c r="Z58" s="3" t="s">
        <v>228</v>
      </c>
      <c r="AA58" t="str">
        <f>_xlfn.TEXTJOIN("",FALSE,LEFT(ApplicationTracker[[#This Row],[Company]],2),DEC2HEX(ApplicationTracker[[#This Row],[Date]]),DEC2HEX(ApplicationTracker[[#This Row],[Updated]]),LEFT(ApplicationTracker[[#This Row],[Job Title]],2),ApplicationTracker[[#This Row],[Want]]*ApplicationTracker[[#This Row],[Likely]])</f>
        <v>HoB3D1B3D3Jr48</v>
      </c>
    </row>
  </sheetData>
  <mergeCells count="1">
    <mergeCell ref="A1:Z1"/>
  </mergeCells>
  <phoneticPr fontId="3" type="noConversion"/>
  <conditionalFormatting sqref="A3:AA58">
    <cfRule type="expression" dxfId="9" priority="15">
      <formula>$W3&gt;=9</formula>
    </cfRule>
  </conditionalFormatting>
  <conditionalFormatting sqref="V3:V58">
    <cfRule type="dataBar" priority="7">
      <dataBar showValue="0">
        <cfvo type="num" val="0"/>
        <cfvo type="num" val="10"/>
        <color rgb="FF638EC6"/>
      </dataBar>
      <extLst>
        <ext xmlns:x14="http://schemas.microsoft.com/office/spreadsheetml/2009/9/main" uri="{B025F937-C7B1-47D3-B67F-A62EFF666E3E}">
          <x14:id>{918CDD42-FAED-4A39-B5B1-18EA9F6D4E77}</x14:id>
        </ext>
      </extLst>
    </cfRule>
  </conditionalFormatting>
  <conditionalFormatting sqref="W3:W58">
    <cfRule type="iconSet" priority="12">
      <iconSet iconSet="5Rating">
        <cfvo type="percent" val="0"/>
        <cfvo type="num" val="2.2000000000000002"/>
        <cfvo type="num" val="4.4000000000000004"/>
        <cfvo type="num" val="6.6"/>
        <cfvo type="num" val="8.8000000000000007"/>
      </iconSet>
    </cfRule>
  </conditionalFormatting>
  <conditionalFormatting sqref="AA3:AA58">
    <cfRule type="duplicateValues" dxfId="12" priority="2"/>
  </conditionalFormatting>
  <hyperlinks>
    <hyperlink ref="Z50" r:id="rId1" xr:uid="{CE4F1AD7-7075-4817-93FB-C3A8424F670F}"/>
    <hyperlink ref="Z3" r:id="rId2" xr:uid="{BDFD0179-C321-44A8-B3BA-224E9E5D6177}"/>
    <hyperlink ref="Z53" r:id="rId3" xr:uid="{3F06D0FB-47D7-4F62-8AF4-CC9CF6C6F614}"/>
    <hyperlink ref="Z52" r:id="rId4" xr:uid="{EC3D5B29-BE79-4728-9C8B-F8E399CA369C}"/>
    <hyperlink ref="Z19" r:id="rId5" xr:uid="{EB1C4A38-A0E5-4665-AE3B-D680D2A185C7}"/>
    <hyperlink ref="Z17" r:id="rId6" xr:uid="{F7AD23C0-9987-469D-AC47-0182332E6A88}"/>
    <hyperlink ref="Z18" r:id="rId7" xr:uid="{F9E67DE0-BEF2-413A-B8C6-0BCDB02940C9}"/>
    <hyperlink ref="Z33" r:id="rId8" xr:uid="{F7633C6B-F19D-40A7-9BCE-DFF5192DEE00}"/>
    <hyperlink ref="Z37" r:id="rId9" xr:uid="{79B348A5-749B-4BBB-AAE2-F338F1284713}"/>
    <hyperlink ref="Z43" r:id="rId10" xr:uid="{8AEC6C1F-680F-4748-8441-C1FF9D5D8A30}"/>
    <hyperlink ref="Z48" r:id="rId11" xr:uid="{1A1FD4B4-3B48-442A-91E5-22374BA6B492}"/>
    <hyperlink ref="Z54" r:id="rId12" xr:uid="{52922A01-51B2-4253-B5F2-9742743DF9A0}"/>
    <hyperlink ref="Z10" r:id="rId13" xr:uid="{E0B29C33-D844-41F9-9FE1-E7D86EBB3C16}"/>
    <hyperlink ref="Z27" r:id="rId14" xr:uid="{47025189-8143-43D2-85E5-FDF370D6CBD7}"/>
    <hyperlink ref="Z12" r:id="rId15" xr:uid="{A8BAF150-CFBB-40A8-AB29-F39B17697B8D}"/>
    <hyperlink ref="Z38" r:id="rId16" xr:uid="{D74F51D8-9417-48E1-99BE-729F66B67D24}"/>
    <hyperlink ref="Z32" r:id="rId17" xr:uid="{A5628D27-7635-4422-B763-7D8B0A820AE9}"/>
    <hyperlink ref="Z16" r:id="rId18" xr:uid="{524F75F6-0A5C-4558-8919-E083E975DA1B}"/>
    <hyperlink ref="Z51" r:id="rId19" xr:uid="{A30153B8-6D35-47CE-8775-5D7F9A806135}"/>
    <hyperlink ref="Z34" r:id="rId20" xr:uid="{941332F8-7A9E-4091-B374-238E3D7D38A5}"/>
    <hyperlink ref="Z11" r:id="rId21" xr:uid="{E6555014-5386-463D-B657-D010E80172CF}"/>
    <hyperlink ref="Z26" r:id="rId22" xr:uid="{49F81849-A6D4-4DB8-9988-D9FF9C3D76B6}"/>
    <hyperlink ref="Z15" r:id="rId23" xr:uid="{0F10BB9B-E11C-4F2F-908F-ED08F773FEE3}"/>
    <hyperlink ref="Z14" r:id="rId24" xr:uid="{35D15824-8E2D-7746-AC6D-855EF081150F}"/>
    <hyperlink ref="Z41" r:id="rId25" display="https://www.linkedin.com/jobs/view/4346297594/?refId=8dadf8f1-ef06-4407-be51-020e13a3758e&amp;trackingId=dM%2BVDoioTgaqScn%2B6n%2BHkg%3D%3D&amp;trk=flagship3_job_home_appliedjobs&amp;lipi=urn%3Ali%3Apage%3Ad_flagship3_myitems_savedjobs%3B9%2Bc75ZuiTd%2BSYqpiXlyGNQ%3D%3D" xr:uid="{3F3F72E9-236F-4E26-9581-48EF6ABB0D4F}"/>
    <hyperlink ref="Z47" r:id="rId26" xr:uid="{44A85D18-488A-43B7-B34B-7C2C67A5B319}"/>
    <hyperlink ref="Z9" r:id="rId27" xr:uid="{C410F5BE-3970-4A1A-9404-A584705818FC}"/>
    <hyperlink ref="Z6" r:id="rId28" xr:uid="{22F08735-A480-4368-A889-12964D077C6D}"/>
    <hyperlink ref="Z31" r:id="rId29" xr:uid="{6211B88B-92FB-494B-976F-35923B75E6B1}"/>
    <hyperlink ref="Z30" r:id="rId30" xr:uid="{8D1A3836-2421-4261-BE54-1DA539B8D79F}"/>
    <hyperlink ref="Z42" r:id="rId31" xr:uid="{2E4529A8-0EF7-47D6-9E29-9FA4EB5FEA3C}"/>
    <hyperlink ref="Z25" r:id="rId32" xr:uid="{458D6231-2BBE-4E4C-8B74-00CF727DDC0E}"/>
    <hyperlink ref="Z44" r:id="rId33" xr:uid="{55672F51-63BE-4FFC-B676-434E82CEA76A}"/>
    <hyperlink ref="Z24" r:id="rId34" xr:uid="{C8489C39-1ED1-41E2-BE22-CD5CCA2D3813}"/>
    <hyperlink ref="Z29" r:id="rId35" xr:uid="{0BAD6CAD-1550-4666-84A9-D9CAA340BAD4}"/>
    <hyperlink ref="Z13" r:id="rId36" xr:uid="{6D3AAAA9-59C4-2C49-87EF-EB56FBF5ED4D}"/>
    <hyperlink ref="Z5" r:id="rId37" xr:uid="{A61EBE4E-D3B7-49C0-9A8A-53B5D946C93C}"/>
    <hyperlink ref="Z4" r:id="rId38" xr:uid="{73AFF6D6-B5C1-4CA3-AB06-D05037951B18}"/>
    <hyperlink ref="Z8" r:id="rId39" xr:uid="{C0B93CF0-2152-473E-B369-9F254DF3DE12}"/>
    <hyperlink ref="Z7" r:id="rId40" xr:uid="{A70C2ABB-FC06-462D-8A83-139FA9B385E4}"/>
    <hyperlink ref="Z23" r:id="rId41" xr:uid="{F84F6362-2B66-4BEC-9E86-A181D7294C88}"/>
    <hyperlink ref="Z35" r:id="rId42" xr:uid="{DD8CE482-E2FB-42C1-BA4B-52EA544ED86D}"/>
    <hyperlink ref="Z39" r:id="rId43" xr:uid="{90B27E24-6A29-4DA7-AD4C-DEDC4BADDA2F}"/>
    <hyperlink ref="Z22" r:id="rId44" xr:uid="{E4550239-6434-4463-8B0C-5D810907EC83}"/>
    <hyperlink ref="Z46" r:id="rId45" xr:uid="{CC9B2D70-BC60-48BA-87D8-203D9BACA1E5}"/>
    <hyperlink ref="Z21" r:id="rId46" xr:uid="{9B6793D4-8800-4342-91BA-5ADB523C7414}"/>
    <hyperlink ref="Z40" r:id="rId47" xr:uid="{E45884EF-A720-4A0F-A8CF-D02788B50FE0}"/>
    <hyperlink ref="Z28" r:id="rId48" xr:uid="{22F38337-01C8-4C81-9A0E-A982C1B6F4FF}"/>
    <hyperlink ref="Z57" r:id="rId49" xr:uid="{8C879F2B-F867-4B25-A1FC-CE01C096A969}"/>
    <hyperlink ref="Z58" r:id="rId50" xr:uid="{6FB8C0CF-2AC6-46DE-AF17-D0084752126A}"/>
  </hyperlinks>
  <pageMargins left="0.7" right="0.7" top="0.75" bottom="0.75" header="0.3" footer="0.3"/>
  <pageSetup orientation="portrait" r:id="rId51"/>
  <tableParts count="1">
    <tablePart r:id="rId52"/>
  </tableParts>
  <extLst>
    <ext xmlns:x14="http://schemas.microsoft.com/office/spreadsheetml/2009/9/main" uri="{78C0D931-6437-407d-A8EE-F0AAD7539E65}">
      <x14:conditionalFormattings>
        <x14:conditionalFormatting xmlns:xm="http://schemas.microsoft.com/office/excel/2006/main">
          <x14:cfRule type="expression" priority="13" id="{D2740716-D20F-418D-B551-BFA96F2D6F68}">
            <xm:f>$E3=Maths!$E$7</xm:f>
            <x14:dxf>
              <font>
                <b/>
                <i val="0"/>
                <u val="double"/>
                <color theme="0"/>
              </font>
              <fill>
                <patternFill>
                  <bgColor rgb="FF00B050"/>
                </patternFill>
              </fill>
            </x14:dxf>
          </x14:cfRule>
          <x14:cfRule type="expression" priority="14" id="{63DFF5BE-3EE9-4526-B5F6-2557FEAAFF9A}">
            <xm:f>$E3=Maths!$E$5</xm:f>
            <x14:dxf>
              <font>
                <b val="0"/>
                <i/>
                <color theme="0"/>
              </font>
              <fill>
                <patternFill>
                  <bgColor theme="9"/>
                </patternFill>
              </fill>
            </x14:dxf>
          </x14:cfRule>
          <x14:cfRule type="expression" priority="16" id="{6C7660C1-E3AF-4EEA-B6BE-72B3B5B1D5A6}">
            <xm:f>$E3=Maths!$E$9</xm:f>
            <x14:dxf>
              <font>
                <b/>
                <i/>
                <color theme="0"/>
              </font>
              <fill>
                <patternFill>
                  <bgColor rgb="FFFF0000"/>
                </patternFill>
              </fill>
            </x14:dxf>
          </x14:cfRule>
          <x14:cfRule type="expression" priority="17" id="{1172F055-290D-49F1-AF09-3098873551B9}">
            <xm:f>$E3=Maths!$E$6</xm:f>
            <x14:dxf>
              <font>
                <b/>
                <i val="0"/>
                <color theme="0"/>
              </font>
              <fill>
                <patternFill>
                  <bgColor theme="9"/>
                </patternFill>
              </fill>
            </x14:dxf>
          </x14:cfRule>
          <x14:cfRule type="expression" priority="1" id="{2331203C-E267-45DF-AC65-ED11159981E1}">
            <xm:f>$E3=Maths!$E$8</xm:f>
            <x14:dxf>
              <font>
                <b val="0"/>
                <i/>
                <color theme="0"/>
              </font>
              <fill>
                <patternFill>
                  <bgColor rgb="FFFF0000"/>
                </patternFill>
              </fill>
            </x14:dxf>
          </x14:cfRule>
          <xm:sqref>A3:AA58</xm:sqref>
        </x14:conditionalFormatting>
        <x14:conditionalFormatting xmlns:xm="http://schemas.microsoft.com/office/excel/2006/main">
          <x14:cfRule type="dataBar" id="{918CDD42-FAED-4A39-B5B1-18EA9F6D4E77}">
            <x14:dataBar minLength="0" maxLength="100" gradient="0">
              <x14:cfvo type="num">
                <xm:f>0</xm:f>
              </x14:cfvo>
              <x14:cfvo type="num">
                <xm:f>10</xm:f>
              </x14:cfvo>
              <x14:negativeFillColor rgb="FFFF0000"/>
              <x14:axisColor rgb="FF000000"/>
            </x14:dataBar>
          </x14:cfRule>
          <xm:sqref>V3:V58</xm:sqref>
        </x14:conditionalFormatting>
      </x14:conditionalFormattings>
    </ext>
    <ext xmlns:x14="http://schemas.microsoft.com/office/spreadsheetml/2009/9/main" uri="{CCE6A557-97BC-4b89-ADB6-D9C93CAAB3DF}">
      <x14:dataValidations xmlns:xm="http://schemas.microsoft.com/office/excel/2006/main" count="5">
        <x14:dataValidation type="list" showInputMessage="1" showErrorMessage="1" xr:uid="{4F62D551-9DAA-42B5-B914-A2D3A5600A10}">
          <x14:formula1>
            <xm:f>Maths!$D$4:$D$6</xm:f>
          </x14:formula1>
          <xm:sqref>H3:H58</xm:sqref>
        </x14:dataValidation>
        <x14:dataValidation type="list" showInputMessage="1" showErrorMessage="1" xr:uid="{69C8DD96-58FA-44C4-8F0F-767AF89B92AA}">
          <x14:formula1>
            <xm:f>Maths!$B$4:$B$5</xm:f>
          </x14:formula1>
          <xm:sqref>J3:J58</xm:sqref>
        </x14:dataValidation>
        <x14:dataValidation type="list" showInputMessage="1" showErrorMessage="1" xr:uid="{5913E35E-7AE1-4CA2-A031-53C60675D5F0}">
          <x14:formula1>
            <xm:f>Maths!$C$4:$C$14</xm:f>
          </x14:formula1>
          <xm:sqref>V3:W58</xm:sqref>
        </x14:dataValidation>
        <x14:dataValidation type="list" showInputMessage="1" showErrorMessage="1" xr:uid="{6C713B46-04E0-4B64-9ED5-9619657EDFE5}">
          <x14:formula1>
            <xm:f>Maths!$E$4:$E$9</xm:f>
          </x14:formula1>
          <xm:sqref>E3:E58</xm:sqref>
        </x14:dataValidation>
        <x14:dataValidation type="list" showInputMessage="1" showErrorMessage="1" xr:uid="{033904CA-5B5A-4CC4-BD4F-66D64FB93B7A}">
          <x14:formula1>
            <xm:f>Maths!$F$4:$F$13</xm:f>
          </x14:formula1>
          <xm:sqref>Y3:Y58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2FD2-B582-4C95-93E3-5B8B8AFC1D8B}">
  <dimension ref="B1:E29"/>
  <sheetViews>
    <sheetView workbookViewId="0">
      <selection activeCell="L10" sqref="L10:AE10"/>
    </sheetView>
  </sheetViews>
  <sheetFormatPr defaultRowHeight="13.9" x14ac:dyDescent="0.4"/>
  <cols>
    <col min="1" max="1" width="2" customWidth="1"/>
    <col min="2" max="2" width="19.0625" customWidth="1"/>
    <col min="3" max="3" width="11.6875" bestFit="1" customWidth="1"/>
  </cols>
  <sheetData>
    <row r="1" spans="2:5" x14ac:dyDescent="0.4">
      <c r="B1" t="s">
        <v>165</v>
      </c>
      <c r="E1" t="s">
        <v>166</v>
      </c>
    </row>
    <row r="2" spans="2:5" x14ac:dyDescent="0.4">
      <c r="B2" t="s">
        <v>167</v>
      </c>
      <c r="C2" t="s">
        <v>168</v>
      </c>
      <c r="E2" t="e" cm="1" vm="1">
        <f t="array" ref="E2:E29">_xlfn.UNIQUE(ApplicationTracker[Location])</f>
        <v>#VALUE!</v>
      </c>
    </row>
    <row r="3" spans="2:5" x14ac:dyDescent="0.4">
      <c r="B3" t="s">
        <v>169</v>
      </c>
      <c r="C3">
        <f>COUNT(ApplicationTracker[Date])</f>
        <v>56</v>
      </c>
      <c r="E3" t="e" vm="2">
        <v>#VALUE!</v>
      </c>
    </row>
    <row r="4" spans="2:5" x14ac:dyDescent="0.4">
      <c r="B4" t="s">
        <v>178</v>
      </c>
      <c r="C4">
        <f>COUNT(_xlfn.UNIQUE(ApplicationTracker[Date]))</f>
        <v>23</v>
      </c>
      <c r="E4" t="e" vm="3">
        <v>#VALUE!</v>
      </c>
    </row>
    <row r="5" spans="2:5" x14ac:dyDescent="0.4">
      <c r="B5" t="s">
        <v>179</v>
      </c>
      <c r="C5">
        <f>COUNTA(_xlfn.UNIQUE(ApplicationTracker[Location]))</f>
        <v>28</v>
      </c>
      <c r="E5" t="e" vm="4">
        <v>#VALUE!</v>
      </c>
    </row>
    <row r="6" spans="2:5" x14ac:dyDescent="0.4">
      <c r="B6" t="s">
        <v>180</v>
      </c>
      <c r="C6">
        <f>COUNTA(_xlfn.UNIQUE(ApplicationTracker[Company]))</f>
        <v>50</v>
      </c>
      <c r="E6" t="e" vm="5">
        <v>#VALUE!</v>
      </c>
    </row>
    <row r="7" spans="2:5" x14ac:dyDescent="0.4">
      <c r="B7" t="s">
        <v>185</v>
      </c>
      <c r="C7" s="7">
        <f>MAX(ApplicationTracker[Y-H])</f>
        <v>159793</v>
      </c>
      <c r="E7" t="e" vm="6">
        <v>#VALUE!</v>
      </c>
    </row>
    <row r="8" spans="2:5" x14ac:dyDescent="0.4">
      <c r="B8" t="s">
        <v>186</v>
      </c>
      <c r="C8" s="7" cm="1">
        <f t="array" ref="C8">MIN(_xlfn._xlws.FILTER(ApplicationTracker[Y-L],ApplicationTracker[Y-L]&gt;0))</f>
        <v>33120</v>
      </c>
      <c r="E8" t="e" vm="7">
        <v>#VALUE!</v>
      </c>
    </row>
    <row r="9" spans="2:5" x14ac:dyDescent="0.4">
      <c r="B9" t="s">
        <v>181</v>
      </c>
      <c r="E9" t="e" vm="8">
        <v>#VALUE!</v>
      </c>
    </row>
    <row r="10" spans="2:5" x14ac:dyDescent="0.4">
      <c r="B10" t="s">
        <v>182</v>
      </c>
      <c r="E10" t="e" vm="9">
        <v>#VALUE!</v>
      </c>
    </row>
    <row r="11" spans="2:5" x14ac:dyDescent="0.4">
      <c r="B11" t="s">
        <v>183</v>
      </c>
      <c r="E11" t="e" vm="10">
        <v>#VALUE!</v>
      </c>
    </row>
    <row r="12" spans="2:5" x14ac:dyDescent="0.4">
      <c r="B12" t="s">
        <v>184</v>
      </c>
      <c r="E12" t="e" vm="11">
        <v>#VALUE!</v>
      </c>
    </row>
    <row r="13" spans="2:5" x14ac:dyDescent="0.4">
      <c r="E13" t="e" vm="12">
        <v>#VALUE!</v>
      </c>
    </row>
    <row r="14" spans="2:5" x14ac:dyDescent="0.4">
      <c r="E14" t="e" vm="13">
        <v>#VALUE!</v>
      </c>
    </row>
    <row r="15" spans="2:5" x14ac:dyDescent="0.4">
      <c r="E15" t="e" vm="14">
        <v>#VALUE!</v>
      </c>
    </row>
    <row r="16" spans="2:5" x14ac:dyDescent="0.4">
      <c r="E16" t="e" vm="15">
        <v>#VALUE!</v>
      </c>
    </row>
    <row r="17" spans="5:5" x14ac:dyDescent="0.4">
      <c r="E17" t="e" vm="16">
        <v>#VALUE!</v>
      </c>
    </row>
    <row r="18" spans="5:5" x14ac:dyDescent="0.4">
      <c r="E18" t="e" vm="17">
        <v>#VALUE!</v>
      </c>
    </row>
    <row r="19" spans="5:5" x14ac:dyDescent="0.4">
      <c r="E19" t="e" vm="18">
        <v>#VALUE!</v>
      </c>
    </row>
    <row r="20" spans="5:5" x14ac:dyDescent="0.4">
      <c r="E20" t="e" vm="19">
        <v>#VALUE!</v>
      </c>
    </row>
    <row r="21" spans="5:5" x14ac:dyDescent="0.4">
      <c r="E21" t="e" vm="20">
        <v>#VALUE!</v>
      </c>
    </row>
    <row r="22" spans="5:5" x14ac:dyDescent="0.4">
      <c r="E22" t="e" vm="21">
        <v>#VALUE!</v>
      </c>
    </row>
    <row r="23" spans="5:5" x14ac:dyDescent="0.4">
      <c r="E23" t="e" vm="22">
        <v>#VALUE!</v>
      </c>
    </row>
    <row r="24" spans="5:5" x14ac:dyDescent="0.4">
      <c r="E24" t="e" vm="23">
        <v>#VALUE!</v>
      </c>
    </row>
    <row r="25" spans="5:5" x14ac:dyDescent="0.4">
      <c r="E25" t="e" vm="24">
        <v>#VALUE!</v>
      </c>
    </row>
    <row r="26" spans="5:5" x14ac:dyDescent="0.4">
      <c r="E26" t="e" vm="25">
        <v>#VALUE!</v>
      </c>
    </row>
    <row r="27" spans="5:5" x14ac:dyDescent="0.4">
      <c r="E27" t="e" vm="26">
        <v>#VALUE!</v>
      </c>
    </row>
    <row r="28" spans="5:5" x14ac:dyDescent="0.4">
      <c r="E28" t="e" vm="27">
        <v>#VALUE!</v>
      </c>
    </row>
    <row r="29" spans="5:5" x14ac:dyDescent="0.4">
      <c r="E29" t="e" vm="28">
        <v>#VALUE!</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BF077-4C9F-480C-8902-EA22246CA2E5}">
  <dimension ref="B1:O14"/>
  <sheetViews>
    <sheetView workbookViewId="0">
      <selection activeCell="M13" sqref="M13"/>
    </sheetView>
  </sheetViews>
  <sheetFormatPr defaultRowHeight="13.9" x14ac:dyDescent="0.4"/>
  <cols>
    <col min="1" max="1" width="1.25" customWidth="1"/>
    <col min="3" max="3" width="10.6875" customWidth="1"/>
    <col min="5" max="5" width="10.0625" customWidth="1"/>
    <col min="6" max="6" width="13.125" bestFit="1" customWidth="1"/>
    <col min="12" max="12" width="17.375" bestFit="1" customWidth="1"/>
  </cols>
  <sheetData>
    <row r="1" spans="2:15" ht="7.5" customHeight="1" x14ac:dyDescent="0.4"/>
    <row r="2" spans="2:15" x14ac:dyDescent="0.4">
      <c r="B2" t="s">
        <v>41</v>
      </c>
      <c r="L2" t="s">
        <v>187</v>
      </c>
      <c r="M2" t="s">
        <v>168</v>
      </c>
      <c r="N2" t="s">
        <v>52</v>
      </c>
      <c r="O2" t="s">
        <v>53</v>
      </c>
    </row>
    <row r="3" spans="2:15" s="8" customFormat="1" x14ac:dyDescent="0.4">
      <c r="B3" s="8" t="s">
        <v>10</v>
      </c>
      <c r="C3" s="8" t="s">
        <v>12</v>
      </c>
      <c r="D3" s="8" t="s">
        <v>17</v>
      </c>
      <c r="E3" s="8" t="s">
        <v>1</v>
      </c>
      <c r="F3" s="8" t="s">
        <v>27</v>
      </c>
      <c r="L3" s="8" t="s">
        <v>42</v>
      </c>
      <c r="M3" s="8">
        <f>WorkingDay40*YearWeeks</f>
        <v>2080</v>
      </c>
      <c r="N3" s="8" t="s">
        <v>54</v>
      </c>
    </row>
    <row r="4" spans="2:15" x14ac:dyDescent="0.4">
      <c r="B4" t="s">
        <v>11</v>
      </c>
      <c r="C4">
        <v>0</v>
      </c>
      <c r="D4" t="s">
        <v>18</v>
      </c>
      <c r="E4" t="s">
        <v>22</v>
      </c>
      <c r="F4" t="s">
        <v>28</v>
      </c>
      <c r="L4" t="s">
        <v>43</v>
      </c>
      <c r="M4">
        <f>WorkingDay35*YearWeeks</f>
        <v>1820</v>
      </c>
      <c r="N4" t="s">
        <v>54</v>
      </c>
    </row>
    <row r="5" spans="2:15" x14ac:dyDescent="0.4">
      <c r="B5" t="s">
        <v>13</v>
      </c>
      <c r="C5">
        <v>1</v>
      </c>
      <c r="D5" t="s">
        <v>19</v>
      </c>
      <c r="E5" t="s">
        <v>23</v>
      </c>
      <c r="F5" t="s">
        <v>29</v>
      </c>
      <c r="L5" t="s">
        <v>44</v>
      </c>
      <c r="M5">
        <f>WorkingDay40*WorkWeeks</f>
        <v>160</v>
      </c>
      <c r="N5" t="s">
        <v>54</v>
      </c>
    </row>
    <row r="6" spans="2:15" x14ac:dyDescent="0.4">
      <c r="C6">
        <v>2</v>
      </c>
      <c r="D6" t="s">
        <v>20</v>
      </c>
      <c r="E6" t="s">
        <v>24</v>
      </c>
      <c r="F6" t="s">
        <v>30</v>
      </c>
      <c r="L6" t="s">
        <v>45</v>
      </c>
      <c r="M6">
        <f>WorkingDay35*WorkWeeks</f>
        <v>140</v>
      </c>
      <c r="N6" t="s">
        <v>54</v>
      </c>
    </row>
    <row r="7" spans="2:15" x14ac:dyDescent="0.4">
      <c r="C7">
        <v>3</v>
      </c>
      <c r="E7" t="s">
        <v>25</v>
      </c>
      <c r="F7" t="s">
        <v>31</v>
      </c>
      <c r="L7" t="s">
        <v>47</v>
      </c>
      <c r="M7">
        <v>40</v>
      </c>
      <c r="N7" t="s">
        <v>54</v>
      </c>
    </row>
    <row r="8" spans="2:15" x14ac:dyDescent="0.4">
      <c r="C8">
        <v>4</v>
      </c>
      <c r="E8" t="s">
        <v>216</v>
      </c>
      <c r="F8" t="s">
        <v>32</v>
      </c>
      <c r="L8" t="s">
        <v>46</v>
      </c>
      <c r="M8">
        <v>35</v>
      </c>
      <c r="N8" t="s">
        <v>54</v>
      </c>
    </row>
    <row r="9" spans="2:15" x14ac:dyDescent="0.4">
      <c r="C9">
        <v>5</v>
      </c>
      <c r="E9" t="s">
        <v>26</v>
      </c>
      <c r="F9" t="s">
        <v>225</v>
      </c>
      <c r="L9" t="s">
        <v>48</v>
      </c>
      <c r="M9">
        <v>52</v>
      </c>
      <c r="N9" t="s">
        <v>55</v>
      </c>
    </row>
    <row r="10" spans="2:15" x14ac:dyDescent="0.4">
      <c r="C10">
        <v>6</v>
      </c>
      <c r="F10" t="s">
        <v>173</v>
      </c>
      <c r="L10" t="s">
        <v>49</v>
      </c>
      <c r="M10">
        <v>5</v>
      </c>
      <c r="N10" t="s">
        <v>56</v>
      </c>
    </row>
    <row r="11" spans="2:15" x14ac:dyDescent="0.4">
      <c r="C11">
        <v>7</v>
      </c>
      <c r="F11" t="s">
        <v>164</v>
      </c>
      <c r="L11" t="s">
        <v>50</v>
      </c>
      <c r="M11">
        <v>11</v>
      </c>
      <c r="N11" t="s">
        <v>56</v>
      </c>
    </row>
    <row r="12" spans="2:15" x14ac:dyDescent="0.4">
      <c r="C12">
        <v>8</v>
      </c>
      <c r="F12" t="s">
        <v>33</v>
      </c>
      <c r="L12" t="s">
        <v>51</v>
      </c>
      <c r="M12">
        <v>4</v>
      </c>
      <c r="N12" t="s">
        <v>55</v>
      </c>
    </row>
    <row r="13" spans="2:15" x14ac:dyDescent="0.4">
      <c r="C13">
        <v>9</v>
      </c>
      <c r="F13" t="s">
        <v>34</v>
      </c>
      <c r="L13" t="s">
        <v>57</v>
      </c>
      <c r="M13">
        <f>Fulltime40Year-(11+7+WorkingDay40)</f>
        <v>2022</v>
      </c>
      <c r="N13" t="s">
        <v>54</v>
      </c>
    </row>
    <row r="14" spans="2:15" x14ac:dyDescent="0.4">
      <c r="C14">
        <v>10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44E3ACA0-BC22-4F28-B2F8-FEA0A65F6DAA}">
  <ds:schemaRefs/>
</ds:datastoreItem>
</file>

<file path=customXml/itemProps2.xml><?xml version="1.0" encoding="utf-8"?>
<ds:datastoreItem xmlns:ds="http://schemas.openxmlformats.org/officeDocument/2006/customXml" ds:itemID="{A9268893-A9BD-4615-9918-CA54EB524398}">
  <ds:schemaRefs>
    <ds:schemaRef ds:uri="http://schemas.microsoft.com/DataMashup"/>
  </ds:schemaRefs>
</ds:datastoreItem>
</file>

<file path=customXml/itemProps3.xml><?xml version="1.0" encoding="utf-8"?>
<ds:datastoreItem xmlns:ds="http://schemas.openxmlformats.org/officeDocument/2006/customXml" ds:itemID="{5013967F-2BAD-4F42-8CF2-E085E7584B2B}">
  <ds:schemaRefs/>
</ds:datastoreItem>
</file>

<file path=customXml/itemProps4.xml><?xml version="1.0" encoding="utf-8"?>
<ds:datastoreItem xmlns:ds="http://schemas.openxmlformats.org/officeDocument/2006/customXml" ds:itemID="{666B9133-5333-45EB-9416-5370B91D4B58}">
  <ds:schemaRefs/>
</ds:datastoreItem>
</file>

<file path=customXml/itemProps5.xml><?xml version="1.0" encoding="utf-8"?>
<ds:datastoreItem xmlns:ds="http://schemas.openxmlformats.org/officeDocument/2006/customXml" ds:itemID="{8D49B545-E4F6-4CC9-BBE6-541214F3DC5F}">
  <ds:schemaRefs/>
</ds:datastoreItem>
</file>

<file path=customXml/itemProps6.xml><?xml version="1.0" encoding="utf-8"?>
<ds:datastoreItem xmlns:ds="http://schemas.openxmlformats.org/officeDocument/2006/customXml" ds:itemID="{B7454D5F-1968-41C1-A162-9CA5077E74E5}">
  <ds:schemaRefs/>
</ds:datastoreItem>
</file>

<file path=customXml/itemProps7.xml><?xml version="1.0" encoding="utf-8"?>
<ds:datastoreItem xmlns:ds="http://schemas.openxmlformats.org/officeDocument/2006/customXml" ds:itemID="{FF8681E6-C3B9-492D-BF6E-4CFE221CA5E4}">
  <ds:schemaRefs>
    <ds:schemaRef ds:uri="http://www.w3.org/2001/XMLSchema"/>
    <ds:schemaRef ds:uri="http://microsoft.data.visualization.engine.tours/1.0"/>
  </ds:schemaRefs>
</ds:datastoreItem>
</file>

<file path=customXml/itemProps8.xml><?xml version="1.0" encoding="utf-8"?>
<ds:datastoreItem xmlns:ds="http://schemas.openxmlformats.org/officeDocument/2006/customXml" ds:itemID="{0078B055-530B-4644-BA05-28A19ECE6913}">
  <ds:schemaRefs/>
</ds:datastoreItem>
</file>

<file path=customXml/itemProps9.xml><?xml version="1.0" encoding="utf-8"?>
<ds:datastoreItem xmlns:ds="http://schemas.openxmlformats.org/officeDocument/2006/customXml" ds:itemID="{A6A566E6-AF98-4848-B8D8-F03E1115113B}">
  <ds:schemaRefs/>
</ds:datastoreItem>
</file>

<file path=customXml/itemProps10.xml><?xml version="1.0" encoding="utf-8"?>
<ds:datastoreItem xmlns:ds="http://schemas.openxmlformats.org/officeDocument/2006/customXml" ds:itemID="{802BF8FD-08D8-4C1F-8707-29CCFBD249E5}">
  <ds:schemaRefs/>
</ds:datastoreItem>
</file>

<file path=customXml/itemProps11.xml><?xml version="1.0" encoding="utf-8"?>
<ds:datastoreItem xmlns:ds="http://schemas.openxmlformats.org/officeDocument/2006/customXml" ds:itemID="{0D228CC3-58A5-46D2-ACCA-B5CAB865DBF6}">
  <ds:schemaRefs/>
</ds:datastoreItem>
</file>

<file path=customXml/itemProps12.xml><?xml version="1.0" encoding="utf-8"?>
<ds:datastoreItem xmlns:ds="http://schemas.openxmlformats.org/officeDocument/2006/customXml" ds:itemID="{F3E7FAC0-B653-4821-B01E-7964158DA5C6}">
  <ds:schemaRefs/>
</ds:datastoreItem>
</file>

<file path=customXml/itemProps13.xml><?xml version="1.0" encoding="utf-8"?>
<ds:datastoreItem xmlns:ds="http://schemas.openxmlformats.org/officeDocument/2006/customXml" ds:itemID="{0EF15D62-7644-4DAF-BF4B-B439E41E98D8}">
  <ds:schemaRefs>
    <ds:schemaRef ds:uri="http://www.w3.org/2001/XMLSchema"/>
    <ds:schemaRef ds:uri="http://microsoft.data.visualization.Client.Excel/1.0"/>
  </ds:schemaRefs>
</ds:datastoreItem>
</file>

<file path=customXml/itemProps14.xml><?xml version="1.0" encoding="utf-8"?>
<ds:datastoreItem xmlns:ds="http://schemas.openxmlformats.org/officeDocument/2006/customXml" ds:itemID="{5132572A-A25E-4BD4-8248-134261317046}">
  <ds:schemaRefs>
    <ds:schemaRef ds:uri="http://www.w3.org/2001/XMLSchema"/>
    <ds:schemaRef ds:uri="http://microsoft.data.visualization.Client.Excel.LState/1.0"/>
  </ds:schemaRefs>
</ds:datastoreItem>
</file>

<file path=customXml/itemProps15.xml><?xml version="1.0" encoding="utf-8"?>
<ds:datastoreItem xmlns:ds="http://schemas.openxmlformats.org/officeDocument/2006/customXml" ds:itemID="{231F5639-D99B-411F-893E-B5E92828D149}">
  <ds:schemaRefs/>
</ds:datastoreItem>
</file>

<file path=customXml/itemProps16.xml><?xml version="1.0" encoding="utf-8"?>
<ds:datastoreItem xmlns:ds="http://schemas.openxmlformats.org/officeDocument/2006/customXml" ds:itemID="{E91E31A9-7176-444E-A177-7F5F9A75543A}">
  <ds:schemaRefs/>
</ds:datastoreItem>
</file>

<file path=customXml/itemProps17.xml><?xml version="1.0" encoding="utf-8"?>
<ds:datastoreItem xmlns:ds="http://schemas.openxmlformats.org/officeDocument/2006/customXml" ds:itemID="{8A9040D6-0134-402A-8E22-EC52053E0438}">
  <ds:schemaRefs/>
</ds:datastoreItem>
</file>

<file path=customXml/itemProps18.xml><?xml version="1.0" encoding="utf-8"?>
<ds:datastoreItem xmlns:ds="http://schemas.openxmlformats.org/officeDocument/2006/customXml" ds:itemID="{2F784610-67F9-4CE1-B6FB-DD583BFB84D5}">
  <ds:schemaRefs/>
</ds:datastoreItem>
</file>

<file path=customXml/itemProps19.xml><?xml version="1.0" encoding="utf-8"?>
<ds:datastoreItem xmlns:ds="http://schemas.openxmlformats.org/officeDocument/2006/customXml" ds:itemID="{97F35715-3881-48CC-8358-1BB2E107E85A}">
  <ds:schemaRefs/>
</ds:datastoreItem>
</file>

<file path=customXml/itemProps20.xml><?xml version="1.0" encoding="utf-8"?>
<ds:datastoreItem xmlns:ds="http://schemas.openxmlformats.org/officeDocument/2006/customXml" ds:itemID="{3FDC77FF-26BD-45DF-AF9D-3BFE5B5422A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11</vt:i4>
      </vt:variant>
    </vt:vector>
  </HeadingPairs>
  <TitlesOfParts>
    <vt:vector size="14" baseType="lpstr">
      <vt:lpstr>Master</vt:lpstr>
      <vt:lpstr>Summary</vt:lpstr>
      <vt:lpstr>Maths</vt:lpstr>
      <vt:lpstr>AveWorkHours</vt:lpstr>
      <vt:lpstr>FedBankdays</vt:lpstr>
      <vt:lpstr>Fulltime35month</vt:lpstr>
      <vt:lpstr>Fulltime35Year</vt:lpstr>
      <vt:lpstr>Fulltime40Month</vt:lpstr>
      <vt:lpstr>Fulltime40Year</vt:lpstr>
      <vt:lpstr>WorkingDay35</vt:lpstr>
      <vt:lpstr>WorkingDay40</vt:lpstr>
      <vt:lpstr>WorkingWeek</vt:lpstr>
      <vt:lpstr>WorkWeeks</vt:lpstr>
      <vt:lpstr>YearWeeks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2026-01-03T02:55:14Z</dcterms:created>
  <dcterms:modified xsi:type="dcterms:W3CDTF">2026-01-24T01:20:41Z</dcterms:modified>
</cp:coreProperties>
</file>